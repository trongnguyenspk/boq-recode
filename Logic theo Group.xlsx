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T\Desktop\Ghi chu du an\"/>
    </mc:Choice>
  </mc:AlternateContent>
  <bookViews>
    <workbookView xWindow="-120" yWindow="-120" windowWidth="29040" windowHeight="15720" tabRatio="821"/>
  </bookViews>
  <sheets>
    <sheet name="Common" sheetId="20" r:id="rId1"/>
    <sheet name="Busbar" sheetId="2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0" l="1"/>
  <c r="B71" i="20" l="1" a="1"/>
  <c r="B71" i="20" s="1"/>
  <c r="B72" i="20" a="1"/>
  <c r="B72" i="20" s="1"/>
  <c r="B73" i="20" a="1"/>
  <c r="B73" i="20" s="1"/>
  <c r="B59" i="20" a="1"/>
  <c r="B59" i="20" s="1"/>
  <c r="B60" i="20" a="1"/>
  <c r="B60" i="20" s="1"/>
  <c r="B61" i="20" a="1"/>
  <c r="B61" i="20" s="1"/>
  <c r="B62" i="20" a="1"/>
  <c r="B62" i="20" s="1"/>
  <c r="B63" i="20" a="1"/>
  <c r="B63" i="20" s="1"/>
  <c r="B64" i="20" a="1"/>
  <c r="B64" i="20" s="1"/>
  <c r="B65" i="20" a="1"/>
  <c r="B65" i="20" s="1"/>
  <c r="B66" i="20" a="1"/>
  <c r="B66" i="20" s="1"/>
  <c r="B67" i="20" a="1"/>
  <c r="B67" i="20" s="1"/>
  <c r="B68" i="20" a="1"/>
  <c r="B68" i="20" s="1"/>
  <c r="B69" i="20" a="1"/>
  <c r="B69" i="20" s="1"/>
  <c r="B70" i="20" a="1"/>
  <c r="B70" i="20" s="1"/>
  <c r="B58" i="20" a="1"/>
  <c r="B58" i="20" s="1"/>
  <c r="B57" i="20" a="1"/>
  <c r="B57" i="20" s="1"/>
  <c r="B56" i="20" a="1"/>
  <c r="B56" i="20" s="1"/>
  <c r="B55" i="20" a="1"/>
  <c r="B55" i="20" s="1"/>
  <c r="B54" i="20" a="1"/>
  <c r="B54" i="20" s="1"/>
  <c r="B53" i="20" a="1"/>
  <c r="B53" i="20" s="1"/>
  <c r="B52" i="20" a="1"/>
  <c r="B52" i="20" s="1"/>
  <c r="B51" i="20" a="1"/>
  <c r="B51" i="20" s="1"/>
  <c r="B50" i="20" a="1"/>
  <c r="B50" i="20" s="1"/>
  <c r="B48" i="20" a="1"/>
  <c r="B48" i="20" s="1"/>
  <c r="B49" i="20" a="1"/>
  <c r="B49" i="20" s="1"/>
  <c r="B47" i="20" a="1"/>
  <c r="B47" i="20" s="1"/>
  <c r="B6" i="20"/>
  <c r="B7" i="20"/>
  <c r="B8" i="20"/>
  <c r="B9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4" i="20"/>
  <c r="B5" i="20"/>
  <c r="C81" i="20"/>
  <c r="C82" i="20" s="1"/>
  <c r="D80" i="20"/>
  <c r="D82" i="20" l="1"/>
  <c r="C83" i="20"/>
  <c r="D81" i="20"/>
  <c r="C84" i="20" l="1"/>
  <c r="D84" i="20" s="1"/>
  <c r="D83" i="20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<sst xmlns="http://schemas.openxmlformats.org/spreadsheetml/2006/main" count="1103" uniqueCount="444">
  <si>
    <t>Mô tả</t>
  </si>
  <si>
    <t>Schneider</t>
  </si>
  <si>
    <t>Nhãn tên tủ điện</t>
  </si>
  <si>
    <t>Đèn báo pha đỏ, 220VAC, D22</t>
  </si>
  <si>
    <t>Đèn báo pha vàng, 220VAC, D22</t>
  </si>
  <si>
    <t>Đèn báo pha xanh dương, 220VAC, D22</t>
  </si>
  <si>
    <t>YW1P-1EQM3R</t>
  </si>
  <si>
    <t>YW1P-1EQM3Y</t>
  </si>
  <si>
    <t>YW1P-1EQM3S</t>
  </si>
  <si>
    <t>Idec</t>
  </si>
  <si>
    <t>Cái</t>
  </si>
  <si>
    <t>EMG Stop, D22, màu đỏ</t>
  </si>
  <si>
    <t>YW1B-V4E11R</t>
  </si>
  <si>
    <t>Nút nhấn đèn patlight, D22</t>
  </si>
  <si>
    <t>YW1B-M1E11R</t>
  </si>
  <si>
    <t>1SVR730794R3300</t>
  </si>
  <si>
    <t>ABB</t>
  </si>
  <si>
    <t>OMEGA</t>
  </si>
  <si>
    <t>Bộ đo điện đa năng</t>
  </si>
  <si>
    <t>DPM680</t>
  </si>
  <si>
    <t>Mikro</t>
  </si>
  <si>
    <t>Bảo vệ chạm đất</t>
  </si>
  <si>
    <t>Bảo vệ chạm đất-ZCT</t>
  </si>
  <si>
    <t>ZCT</t>
  </si>
  <si>
    <t>Thiết bị bảo vệ mất pha và đảo pha-A</t>
  </si>
  <si>
    <t>Thiết bị bảo vệ mất pha và đảo pha-S</t>
  </si>
  <si>
    <t>RM22TR33</t>
  </si>
  <si>
    <t>PCT đúc, có đế, 100/5, CL.5P10-5VA</t>
  </si>
  <si>
    <t>MCT đúc, có đế, 75/5, CL.3-5VA</t>
  </si>
  <si>
    <t>MCT đúc, có đế, 100/5, CL.1-5VA</t>
  </si>
  <si>
    <t>MCT đúc, có đế, 150/5, CL.1-5VA</t>
  </si>
  <si>
    <t>PCT đúc, có đế, 150/5, CL.5P10-5VA</t>
  </si>
  <si>
    <t>MCT đúc, có đế, 200/5, CL.1-5VA</t>
  </si>
  <si>
    <t>PCT đúc, có đế, 200/5, CL.5P10-5VA</t>
  </si>
  <si>
    <t>MCT đúc, có đế, 250/5, CL.1-5VA</t>
  </si>
  <si>
    <t>PCT đúc, có đế, 250/5, CL.5P10-5VA</t>
  </si>
  <si>
    <t>MCT đúc, có đế, 300/5, CL.1-5VA</t>
  </si>
  <si>
    <t>PCT đúc, có đế, 300/5, CL.5P10-5VA</t>
  </si>
  <si>
    <t>PCT đúc, có đế, 400/5, CL.5P10-15VA</t>
  </si>
  <si>
    <t>MCT đúc, có đế, 400/5, CL.1-15VA</t>
  </si>
  <si>
    <t>MCT đúc, có đế, 500/5, CL.1-15VA</t>
  </si>
  <si>
    <t>PCT đúc, có đế, 500/5, CL.5P10-15VA</t>
  </si>
  <si>
    <t>MCT đúc, có đế, 600/5, CL.1-15VA</t>
  </si>
  <si>
    <t>PCT đúc, có đế, 600/5, CL.5P10-15VA</t>
  </si>
  <si>
    <t>MCT đúc, có đế, 800/5, CL.1-15VA</t>
  </si>
  <si>
    <t>PCT đúc, có đế, 800/5, CL.5P10-15VA</t>
  </si>
  <si>
    <t>PCT đúc, có đế, 1000/5, CL.5P10-15VA</t>
  </si>
  <si>
    <t>MCT đúc, chữ nhật, 1000/5, CL.1-15VA</t>
  </si>
  <si>
    <t>PCT đúc, chữ nhật, 1000/5, CL.5P10-15VA</t>
  </si>
  <si>
    <t>MCT đúc, chữ nhật, 1200/5, CL.1-15VA</t>
  </si>
  <si>
    <t>PCT đúc, chữ nhật, 1200/5, CL.5P10-15VA</t>
  </si>
  <si>
    <t>MCT đúc, chữ nhật, 1600/5, CL.1-15VA</t>
  </si>
  <si>
    <t>PCT đúc, chữ nhật, 1600/5, CL.5P10-15VA</t>
  </si>
  <si>
    <t>Cầu chì 2A</t>
  </si>
  <si>
    <t>OBO</t>
  </si>
  <si>
    <t>Bộ chống sét lan truyền V20</t>
  </si>
  <si>
    <t>PCT đúc, có đế, 1600/5, CL.5P10-15VA</t>
  </si>
  <si>
    <t>PCT đúc, có đế, 1200/5, CL.5P10-15VA</t>
  </si>
  <si>
    <t>Đèn báo động patlight, có chuông, màu đỏ 24VDC</t>
  </si>
  <si>
    <t>China</t>
  </si>
  <si>
    <t>Asia</t>
  </si>
  <si>
    <t>Bus 25x5</t>
  </si>
  <si>
    <t>Co nhiệt cho thanh cái 25x5 đỏ</t>
  </si>
  <si>
    <t>Co nhiệt cho thanh cái 25x5 vàng</t>
  </si>
  <si>
    <t>Co nhiệt cho thanh cái 25x5 xanh dương</t>
  </si>
  <si>
    <t>Co nhiệt cho thanh cái 25x5 đen</t>
  </si>
  <si>
    <t>Bus 30x5</t>
  </si>
  <si>
    <t>Co nhiệt cho thanh cái 30x5 đỏ</t>
  </si>
  <si>
    <t>Co nhiệt cho thanh cái 30x5 vàng</t>
  </si>
  <si>
    <t>Co nhiệt cho thanh cái 30x5 xanh dương</t>
  </si>
  <si>
    <t>Co nhiệt cho thanh cái 30x5 đen</t>
  </si>
  <si>
    <t>Bus 40x8</t>
  </si>
  <si>
    <t>Co nhiệt cho thanh cái 40x8 đỏ</t>
  </si>
  <si>
    <t>Co nhiệt cho thanh cái 40x8 vàng</t>
  </si>
  <si>
    <t>Co nhiệt cho thanh cái 40x8 xanh dương</t>
  </si>
  <si>
    <t>Co nhiệt cho thanh cái 40x8 đen</t>
  </si>
  <si>
    <t>Bus 30x10</t>
  </si>
  <si>
    <t>Co nhiệt cho thanh cái 30x10 đỏ</t>
  </si>
  <si>
    <t>Co nhiệt cho thanh cái 30x10 vàng</t>
  </si>
  <si>
    <t>Co nhiệt cho thanh cái 30x10 xanh dương</t>
  </si>
  <si>
    <t>Co nhiệt cho thanh cái 30x10 đen</t>
  </si>
  <si>
    <t>Bus 40x10</t>
  </si>
  <si>
    <t>Co nhiệt cho thanh cái 40x10 đỏ</t>
  </si>
  <si>
    <t>Co nhiệt cho thanh cái 40x10 vàng</t>
  </si>
  <si>
    <t>Co nhiệt cho thanh cái 40x10 xanh dương</t>
  </si>
  <si>
    <t>Co nhiệt cho thanh cái 40x10 đen</t>
  </si>
  <si>
    <t>Co nhiệt cho thanh cái 50x10 đỏ</t>
  </si>
  <si>
    <t>Co nhiệt cho thanh cái 50x10 vàng</t>
  </si>
  <si>
    <t>Co nhiệt cho thanh cái 50x10 xanh dương</t>
  </si>
  <si>
    <t>Co nhiệt cho thanh cái 50x10 đen</t>
  </si>
  <si>
    <t>Bus 50x8</t>
  </si>
  <si>
    <t>Co nhiệt cho thanh cái 50x8 đỏ</t>
  </si>
  <si>
    <t>Co nhiệt cho thanh cái 50x8 vàng</t>
  </si>
  <si>
    <t>Co nhiệt cho thanh cái 50x8 xanh dương</t>
  </si>
  <si>
    <t>Co nhiệt cho thanh cái 50x8 đen</t>
  </si>
  <si>
    <t>VN</t>
  </si>
  <si>
    <t>Gối đỡ SM-51</t>
  </si>
  <si>
    <t>Gối đỡ SM-35</t>
  </si>
  <si>
    <t>Bus 80x8</t>
  </si>
  <si>
    <t>Co nhiệt cho thanh cái 80x8 đỏ</t>
  </si>
  <si>
    <t>Co nhiệt cho thanh cái 80x8 vàng</t>
  </si>
  <si>
    <t>Co nhiệt cho thanh cái 80x8 xanh dương</t>
  </si>
  <si>
    <t>Co nhiệt cho thanh cái 80x8 đen</t>
  </si>
  <si>
    <t>Bus 80x10</t>
  </si>
  <si>
    <t>Co nhiệt cho thanh cái 80x10 đỏ</t>
  </si>
  <si>
    <t>Co nhiệt cho thanh cái 80x10 vàng</t>
  </si>
  <si>
    <t>Co nhiệt cho thanh cái 80x10 xanh dương</t>
  </si>
  <si>
    <t>Co nhiệt cho thanh cái 80x10 đen</t>
  </si>
  <si>
    <t>Quạt tản nhiệt 200x200</t>
  </si>
  <si>
    <t>F2E-162B-230</t>
  </si>
  <si>
    <t>LEIPOLE</t>
  </si>
  <si>
    <t>cái</t>
  </si>
  <si>
    <t>Đèn chiếu sáng trong tủ dạng LED</t>
  </si>
  <si>
    <t>FSB509G103-4</t>
  </si>
  <si>
    <t>FSL</t>
  </si>
  <si>
    <t>bộ</t>
  </si>
  <si>
    <t>Công tắc hành trình + đế</t>
  </si>
  <si>
    <t>HY-R704C+MS-10</t>
  </si>
  <si>
    <t>Hangyoung</t>
  </si>
  <si>
    <t>FKL6623.300</t>
  </si>
  <si>
    <t>Leipole</t>
  </si>
  <si>
    <t>Cảm biến nhiệt độ</t>
  </si>
  <si>
    <t>Kacon</t>
  </si>
  <si>
    <t>Quạt tản nhiệt 120x120</t>
  </si>
  <si>
    <t>F2E-120S-230</t>
  </si>
  <si>
    <t>Miệng gió lọc bụi 204x204 (lỗ khoét 177x177), màu RAL7032</t>
  </si>
  <si>
    <t>Miệng gió lọc bụi 204x204 (lỗ khoét 177x177), màu RAL7035</t>
  </si>
  <si>
    <t>Cáp CV 2.5-đỏ</t>
  </si>
  <si>
    <t>Cadivi</t>
  </si>
  <si>
    <t>Cáp CV 2.5-vàng</t>
  </si>
  <si>
    <t>Cáp CV 2.5-xanh dương</t>
  </si>
  <si>
    <t>Cáp CV 2.5-xanh sọc vàng</t>
  </si>
  <si>
    <t>Cáp CV 1.0 vàng</t>
  </si>
  <si>
    <t>m</t>
  </si>
  <si>
    <t>Cáp CV 1.0 đen</t>
  </si>
  <si>
    <t>Cáp Vcm 0.75 xanh</t>
  </si>
  <si>
    <t>Vcm-0.75-XD</t>
  </si>
  <si>
    <t>Đầu coss chĩa bọc nhựa cho dây 2.5</t>
  </si>
  <si>
    <t>SV2-4</t>
  </si>
  <si>
    <t>Cái</t>
  </si>
  <si>
    <t>CABLE PROFINET</t>
  </si>
  <si>
    <t>6XV1840-2AH10</t>
  </si>
  <si>
    <t>Siemens</t>
  </si>
  <si>
    <t>Đầu nối cáp PROFINET RJ45</t>
  </si>
  <si>
    <t>VS-PN-RJ45-5-Q/IP20 - RJ45</t>
  </si>
  <si>
    <t>Phoenix contact</t>
  </si>
  <si>
    <t>Đầu cos chỉa trần 1.25</t>
  </si>
  <si>
    <t>Đầu cos pin rỗng dùng cho cáp 2.5</t>
  </si>
  <si>
    <t>E2510</t>
  </si>
  <si>
    <t>Đầu cos pin rỗng dùng cho cáp 1.0</t>
  </si>
  <si>
    <t>E1008</t>
  </si>
  <si>
    <t>Klemsan</t>
  </si>
  <si>
    <t>Cây</t>
  </si>
  <si>
    <t>Vít bắn M4x15,sắt</t>
  </si>
  <si>
    <t>kg</t>
  </si>
  <si>
    <t>Dây rút 1T</t>
  </si>
  <si>
    <t>Bịch/100</t>
  </si>
  <si>
    <t>NANO</t>
  </si>
  <si>
    <t>Cuộn</t>
  </si>
  <si>
    <t>Bu lông M4x30+long đền+ tán, sắt</t>
  </si>
  <si>
    <t>Bộ</t>
  </si>
  <si>
    <t>Bu lông M6x30+long đền+ tán, sắt</t>
  </si>
  <si>
    <t>Bu lông M6x40+long đền+ tán, sắt</t>
  </si>
  <si>
    <t>Bu lông M8x30+long đền+ tán, sắt</t>
  </si>
  <si>
    <t>Bu lông M8x40+long đền+ tán, sắt</t>
  </si>
  <si>
    <t>Bu lông M10x30+long đền+ tán, sắt</t>
  </si>
  <si>
    <t>Bu lông M10x40+long đền+ tán, sắt</t>
  </si>
  <si>
    <t>Bu lông M12x40+long đền+ tán, sắt</t>
  </si>
  <si>
    <t>Ruột gà xoắn Ø06</t>
  </si>
  <si>
    <t>bịch</t>
  </si>
  <si>
    <t>Ruột gà xoắn Ø16</t>
  </si>
  <si>
    <t>LM-TP309Y</t>
  </si>
  <si>
    <t>MAX</t>
  </si>
  <si>
    <t>cuộn</t>
  </si>
  <si>
    <t>Mực in số ( Màu đen)</t>
  </si>
  <si>
    <t>LM-IR300B</t>
  </si>
  <si>
    <t>LM-TU332N</t>
  </si>
  <si>
    <t>Đá cắt 1 Tấc</t>
  </si>
  <si>
    <t>Norton</t>
  </si>
  <si>
    <t>Viên</t>
  </si>
  <si>
    <t>Đá mài 1 Tấc</t>
  </si>
  <si>
    <t>Đá cắt 3 Tấc</t>
  </si>
  <si>
    <t>Viết xóa màu trắng</t>
  </si>
  <si>
    <t>Domino nhựa mềm 10A màu trắng</t>
  </si>
  <si>
    <t>Thanh</t>
  </si>
  <si>
    <t>Viết lông dầu dầu kim</t>
  </si>
  <si>
    <t>Ty ren bằng sắt M6</t>
  </si>
  <si>
    <t>Bát chặn domino bằng sắt</t>
  </si>
  <si>
    <t>BIZ-07</t>
  </si>
  <si>
    <t>Mũi taro M4</t>
  </si>
  <si>
    <t>Nachi</t>
  </si>
  <si>
    <t>Mũi khoan sắt M6</t>
  </si>
  <si>
    <t>Mũi khoan sắt M8</t>
  </si>
  <si>
    <t>Mũi khoan sắt M10</t>
  </si>
  <si>
    <t>Bình gas mini</t>
  </si>
  <si>
    <t>Bình</t>
  </si>
  <si>
    <t>PE quấn tủ điện</t>
  </si>
  <si>
    <t>Ổ cắm điện chuyên dùng để gắn trong tủ điện</t>
  </si>
  <si>
    <t>Bộ nguồn 24VDC, 10A,240W</t>
  </si>
  <si>
    <t>S8VK-C24024</t>
  </si>
  <si>
    <t>Omron</t>
  </si>
  <si>
    <t>Phích cắm (đầu cái)</t>
  </si>
  <si>
    <t>MPE</t>
  </si>
  <si>
    <t>Biến thế cách ly 500VA  380-400/0-200-220V</t>
  </si>
  <si>
    <t>Chin-i</t>
  </si>
  <si>
    <t>Biến thế cách ly 1000VA 380-400/0-200-220V0V</t>
  </si>
  <si>
    <t>Thanh lược 2P 63A</t>
  </si>
  <si>
    <t>Thanh lược 3P 63A</t>
  </si>
  <si>
    <t>Mica trong 5ly Đài Loan</t>
  </si>
  <si>
    <t>Bộ nguồn 24VDC, 5A, 120W</t>
  </si>
  <si>
    <t>S8VK-C12024</t>
  </si>
  <si>
    <t>Mã sản phẩm</t>
  </si>
  <si>
    <t>Nhãn hiệu</t>
  </si>
  <si>
    <t>Vỏ tủ điện W800xH2100xD600x2.0mm, tủ khung, màu RAL 7032</t>
  </si>
  <si>
    <t>W800xH2100xD600x2.0mm</t>
  </si>
  <si>
    <t>Vỏ tủ điện W1600xH2100xD600x2.0mm, tủ khung, màu RAL 7032</t>
  </si>
  <si>
    <t>W1600xH2100xD600x2.0mm</t>
  </si>
  <si>
    <t>Vỏ tủ điện W2400xH2100xD600x2.0mm, tủ khung, màu RAL 7032</t>
  </si>
  <si>
    <t>W2400xH2100xD600x2.0mm</t>
  </si>
  <si>
    <t>Vỏ tủ điện W3200xH2100xD600x2.0mm, tủ khung, màu RAL 7032</t>
  </si>
  <si>
    <t>W3200xH2100xD600x2.0mm</t>
  </si>
  <si>
    <t>Vỏ tủ điện W900xH2100xD600x2.0mm, tủ khung, màu RAL 7032</t>
  </si>
  <si>
    <t>Vỏ tủ điện W1800xH2100xD600x2.0mm, tủ khung, màu RAL 7032</t>
  </si>
  <si>
    <t>Vỏ tủ điện W2700xH2100xD600x2.0mm, tủ khung, màu RAL 7032</t>
  </si>
  <si>
    <t>Vỏ tủ điện W3600xH2100xD600x2.0mm, tủ khung, màu RAL 7032</t>
  </si>
  <si>
    <t>Vỏ tủ điện W800xH2100xD800x2.0mm, tủ khung, màu RAL 7032</t>
  </si>
  <si>
    <t>W800xH2100xD800x2.0mm</t>
  </si>
  <si>
    <t>Vỏ tủ điện W1600xH2100xD800x2.0mm, tủ khung, màu RAL 7032</t>
  </si>
  <si>
    <t>W1600xH2100xD800x2.0mm</t>
  </si>
  <si>
    <t>Vỏ tủ điện W2400xH2100xD800x2.0mm, tủ khung, màu RAL 7032</t>
  </si>
  <si>
    <t>W2400xH2100xD800x2.0mm</t>
  </si>
  <si>
    <t>Vỏ tủ điện W4000xH2100xD800x2.0mm, tủ khung, màu RAL 7032</t>
  </si>
  <si>
    <t>W4000xH2100xD800x2.0mm</t>
  </si>
  <si>
    <t>Vỏ tủ điện W900xH2100xD800x2.0mm, tủ khung, màu RAL 7032</t>
  </si>
  <si>
    <t>Vỏ tủ điện W1800xH2100xD800x2.0mm, tủ khung, màu RAL 7032</t>
  </si>
  <si>
    <t>Vỏ tủ điện W2700xH2100xD800x2.0mm, tủ khung, màu RAL 7032</t>
  </si>
  <si>
    <t>Vỏ tủ điện W3200xH2100xD800x2.0mm, tủ khung, màu RAL 7032</t>
  </si>
  <si>
    <t>W3200xH2100xD800x2.0mm</t>
  </si>
  <si>
    <t>W900xH2100xD800x2.0mm</t>
  </si>
  <si>
    <t>W1800xH2100xD800x2.0mm</t>
  </si>
  <si>
    <t>W2700xH2100xD800x2.0mm</t>
  </si>
  <si>
    <t>W4500xH2100xD800x2.0mm</t>
  </si>
  <si>
    <t>Vỏ tủ điện W4500xH2100xD800x2.0mm, tủ khung, màu RAL 7032</t>
  </si>
  <si>
    <t>CB tổng</t>
  </si>
  <si>
    <t>Shuntrip</t>
  </si>
  <si>
    <t>100m/Cuộn</t>
  </si>
  <si>
    <t/>
  </si>
  <si>
    <t>EL-180</t>
  </si>
  <si>
    <t>Thanh đỡ Busbar 3 rãnh đơn, rãnh 10mm</t>
  </si>
  <si>
    <t>Thanh đỡ Busbar 4 rãnh đơn, rãnh 10mm</t>
  </si>
  <si>
    <t>EL-295</t>
  </si>
  <si>
    <t>Cable clamp rail - KR1 ( 1m )</t>
  </si>
  <si>
    <t>Lô</t>
  </si>
  <si>
    <t>Cặp (2 cái)</t>
  </si>
  <si>
    <t>Giá đỡ cầu nối dây điện MR 35x7,5 SLOTTED (2m)</t>
  </si>
  <si>
    <t>Đơn vị</t>
  </si>
  <si>
    <t>Bộ đo điện đa năng, TCP/IP</t>
  </si>
  <si>
    <t xml:space="preserve">Vỏ tủ điện W3200xH2100xD800x2.0mm, tủ khung, màu FF160/4002/C3 </t>
  </si>
  <si>
    <t>Bus 50x6</t>
  </si>
  <si>
    <t>Co nhiệt cho thanh cái 50x6 đỏ</t>
  </si>
  <si>
    <t>Co nhiệt cho thanh cái 50x6 vàng</t>
  </si>
  <si>
    <t>Co nhiệt cho thanh cái 50x6 xanh dương</t>
  </si>
  <si>
    <t>Co nhiệt cho thanh cái 50x6 đen</t>
  </si>
  <si>
    <t>MCT đúc, có đế, 1200/5, CL.1-15VA</t>
  </si>
  <si>
    <t>Mũi taro M6</t>
  </si>
  <si>
    <t>ZCT60S</t>
  </si>
  <si>
    <t>Thanh đỡ Busbar 3 rãnh đơn, rãnh 6mm</t>
  </si>
  <si>
    <t>EL-210</t>
  </si>
  <si>
    <t>8m/cuộn</t>
  </si>
  <si>
    <t>50m/cuộn</t>
  </si>
  <si>
    <t>Dự phòng</t>
  </si>
  <si>
    <t>phụ trợ (CB nguồn, profinet)</t>
  </si>
  <si>
    <t>MHD /TLUG</t>
  </si>
  <si>
    <t>Master</t>
  </si>
  <si>
    <t>Nút nhấn xanh lá</t>
  </si>
  <si>
    <t>YW1B-M1E11G</t>
  </si>
  <si>
    <t>Ống in số 3.2mm ( Màu trắng)</t>
  </si>
  <si>
    <t>W2700xH2100xD600x2.0mm</t>
  </si>
  <si>
    <t>W3600xH2100xD600x2.0mm</t>
  </si>
  <si>
    <t>W1800xH2100xD600x2.0mm</t>
  </si>
  <si>
    <t>W900xH2100xD600x2.0mm</t>
  </si>
  <si>
    <t>Dây rút 2T, bản 8mm, màu đen</t>
  </si>
  <si>
    <t>Emic</t>
  </si>
  <si>
    <t>Biến dòng đo lường công tơ điện tử 3 pha (có kiểm định)</t>
  </si>
  <si>
    <t>ME-41MG</t>
  </si>
  <si>
    <r>
      <t xml:space="preserve">Công tơ </t>
    </r>
    <r>
      <rPr>
        <b/>
        <sz val="11"/>
        <color theme="1"/>
        <rFont val="Calibri"/>
        <family val="2"/>
        <scheme val="minor"/>
      </rPr>
      <t>điện tử</t>
    </r>
    <r>
      <rPr>
        <sz val="11"/>
        <color theme="1"/>
        <rFont val="Calibri"/>
        <family val="2"/>
        <charset val="163"/>
        <scheme val="minor"/>
      </rPr>
      <t xml:space="preserve"> 3 pha, </t>
    </r>
    <r>
      <rPr>
        <b/>
        <sz val="11"/>
        <color theme="1"/>
        <rFont val="Calibri"/>
        <family val="2"/>
        <scheme val="minor"/>
      </rPr>
      <t>gián tiếp</t>
    </r>
    <r>
      <rPr>
        <sz val="11"/>
        <color theme="1"/>
        <rFont val="Calibri"/>
        <family val="2"/>
        <charset val="163"/>
        <scheme val="minor"/>
      </rPr>
      <t xml:space="preserve"> 5A, 3 biểu giá (có kiểm định)</t>
    </r>
  </si>
  <si>
    <t>Bộ chống sét lan truyền V50-B+C/3+NPE</t>
  </si>
  <si>
    <t>Máng cáp KKC 4040  40x40 WIRING DUCT</t>
  </si>
  <si>
    <t>Máng cáp KKC 6060  60x60 WIRING DUCT</t>
  </si>
  <si>
    <t>0.0.0.5.51017</t>
  </si>
  <si>
    <t>0.0.0.5.51013</t>
  </si>
  <si>
    <t>RX380-415AD</t>
  </si>
  <si>
    <t>R201-230A</t>
  </si>
  <si>
    <t>Vỏ tủ điện W3600xH2100xD900x2.0mm, tủ khung, màu RAL 7032</t>
  </si>
  <si>
    <t>W3600xH2100xD900x2.0mm</t>
  </si>
  <si>
    <t>MCT 1000/5A CL.1 40VA, loại lắp cho thanh cái</t>
  </si>
  <si>
    <t>LIGHTSTAR</t>
  </si>
  <si>
    <t>PCT 1000/5A CL.5P10 5VA, loại lắp cho thanh cái</t>
  </si>
  <si>
    <t>Thanh đỡ Busbar 4 rãnh, rãnh 10mm</t>
  </si>
  <si>
    <t>EL-130</t>
  </si>
  <si>
    <t>Thanh đỡ Busbar 4 rãnh kép, rãnh 10mm</t>
  </si>
  <si>
    <t>EL-409</t>
  </si>
  <si>
    <t>R301-230A</t>
  </si>
  <si>
    <t>Mã ibom</t>
  </si>
  <si>
    <t>0.0.0.6.70400</t>
  </si>
  <si>
    <t>KBM-05-1000</t>
  </si>
  <si>
    <t>KBM-05R-1000</t>
  </si>
  <si>
    <t>Băng keo điện nano</t>
  </si>
  <si>
    <t>Băng nhãn dán 9mm (Màu vàng)</t>
  </si>
  <si>
    <t>Biến thế cách ly 2000VA 380/220V</t>
  </si>
  <si>
    <t>Bus-50x10</t>
  </si>
  <si>
    <t>Băng keo trong-5cm</t>
  </si>
  <si>
    <t>Băng keo giấy-2cm</t>
  </si>
  <si>
    <t>Bút chì 2b</t>
  </si>
  <si>
    <t>W720xH280</t>
  </si>
  <si>
    <t>Biến dòng đo lường MCT 300/5A CL.1 5VA 20x30 3P4W 3CT</t>
  </si>
  <si>
    <t>KBF-43</t>
  </si>
  <si>
    <t>Biến dòng bảo vệ PCT 300/5A CL.5P10 2.5VA 32x12</t>
  </si>
  <si>
    <t>KBM-34R</t>
  </si>
  <si>
    <t>Biến dòng đo lường MCT 250/5A CL.1 5VA 21x10 3P4W 3CT</t>
  </si>
  <si>
    <t>Biến dòng bảo vệ PCT 250/5A CL.5P10 2.5VA Ø40</t>
  </si>
  <si>
    <t>CV-1-DE</t>
  </si>
  <si>
    <t>CV-1-V</t>
  </si>
  <si>
    <t>IVIU002</t>
  </si>
  <si>
    <t>FVQM001</t>
  </si>
  <si>
    <t>QVAN011</t>
  </si>
  <si>
    <t>XVBQ001</t>
  </si>
  <si>
    <t>QVAN010</t>
  </si>
  <si>
    <t>QVAN009</t>
  </si>
  <si>
    <t>KKNA001</t>
  </si>
  <si>
    <t>KKNA002</t>
  </si>
  <si>
    <t>KKNA003</t>
  </si>
  <si>
    <t>DNQF013</t>
  </si>
  <si>
    <t>DNQF007</t>
  </si>
  <si>
    <t>DNQF008</t>
  </si>
  <si>
    <t>DNQF009</t>
  </si>
  <si>
    <t>NKYH001</t>
  </si>
  <si>
    <t>CV-2.5-DO</t>
  </si>
  <si>
    <t>CV-2.5-V</t>
  </si>
  <si>
    <t>CV-2.5-XD</t>
  </si>
  <si>
    <t>CV-2.5-XSV_1</t>
  </si>
  <si>
    <t>CN-30x5-DO</t>
  </si>
  <si>
    <t>CN-30x5-V</t>
  </si>
  <si>
    <t>CN-30x5-XD</t>
  </si>
  <si>
    <t>BT-380/220-1000VA</t>
  </si>
  <si>
    <t>KBF-23-250/5-3MCT</t>
  </si>
  <si>
    <t>KBJ-04R-250/5-1PCT</t>
  </si>
  <si>
    <t>PMHR001</t>
  </si>
  <si>
    <t>PMHR002</t>
  </si>
  <si>
    <t>IVIU003</t>
  </si>
  <si>
    <t>MVXK014</t>
  </si>
  <si>
    <t>MVXK015</t>
  </si>
  <si>
    <t>MVXK016</t>
  </si>
  <si>
    <t>CHAE002</t>
  </si>
  <si>
    <t>AGXY001</t>
  </si>
  <si>
    <t>XZRZ001</t>
  </si>
  <si>
    <t>XZRZ002</t>
  </si>
  <si>
    <t>QVAN007</t>
  </si>
  <si>
    <t>QVAN008</t>
  </si>
  <si>
    <t>PRHT001</t>
  </si>
  <si>
    <t>SNB1.25-3</t>
  </si>
  <si>
    <t>Bus-30x5</t>
  </si>
  <si>
    <t>BOWU004</t>
  </si>
  <si>
    <t>OMG-FS32X+OFL10x38-2A</t>
  </si>
  <si>
    <t>SM-35-VN</t>
  </si>
  <si>
    <t>CHAE004</t>
  </si>
  <si>
    <t>Bus 20x8</t>
  </si>
  <si>
    <t>TD-20x8</t>
  </si>
  <si>
    <t xml:space="preserve"> W3600xH2100xD900x2.0mm_FF160.4002.C3 </t>
  </si>
  <si>
    <t>Ghi chú</t>
  </si>
  <si>
    <t>Tự động sinh theo CB tổng</t>
  </si>
  <si>
    <t>Làm rõ logic</t>
  </si>
  <si>
    <t>Người dùng tự tra mã trong product library</t>
  </si>
  <si>
    <t>Khối lượng bằng tổng 3 loại đèn báo pha ở trên</t>
  </si>
  <si>
    <t>số lượng tùy chọn (mặc định để 2)</t>
  </si>
  <si>
    <t>số lượng tùy chọn (mặc định để 1)</t>
  </si>
  <si>
    <t>Khối lượng bằng "Đèn báo động patlight, có chuông, màu đỏ 24VDC"</t>
  </si>
  <si>
    <t>Khối lượng bằng "Bảo vệ chạm đất-ZCT"</t>
  </si>
  <si>
    <t>MCT_50-5_CL.3_5VA</t>
  </si>
  <si>
    <t>MCT_75-5_CL.3_5VA</t>
  </si>
  <si>
    <t>MCT, 50/5, CL.3-5VA</t>
  </si>
  <si>
    <t>Loại đúc, có đế</t>
  </si>
  <si>
    <t>MCT_100-5_CL.1_5VA</t>
  </si>
  <si>
    <t>TD-25x5</t>
  </si>
  <si>
    <t>TD-30x5</t>
  </si>
  <si>
    <t>TD-30x10</t>
  </si>
  <si>
    <t>TD-40x10</t>
  </si>
  <si>
    <t>TD-50x6</t>
  </si>
  <si>
    <t>TD-40x8</t>
  </si>
  <si>
    <t>TD-50x8</t>
  </si>
  <si>
    <t>TD-50x10</t>
  </si>
  <si>
    <t>TD-80x8</t>
  </si>
  <si>
    <t>TD-80x10</t>
  </si>
  <si>
    <t>Chỉ chọn 1 trong các option này
Cần tạo ra: textbox nhập số khung, số mặt tủ để tính toán lọc bụi, quạt, đèn, công tắc hành trình</t>
  </si>
  <si>
    <t>số lượng tùy chọn, mặc định: nếu 800A&gt; CB tổng &gt;=300A, số lượng=5, ngược lại =0</t>
  </si>
  <si>
    <t>số lượng tùy chọn, mặc định: nếu 250A&gt; CB tổng &gt;=100A, số lượng=5, ngược lại =0</t>
  </si>
  <si>
    <t>số lượng tùy chọn, mặc định: 0</t>
  </si>
  <si>
    <t>số lượng=số khung tủ</t>
  </si>
  <si>
    <t>nếu mặt tủ=1: số lượng=số khung tủ; mặt tủ=2: số lượng=(số khung tủ) x 2</t>
  </si>
  <si>
    <t>FKL6623.300_7032</t>
  </si>
  <si>
    <t>FKL6623.300_7035</t>
  </si>
  <si>
    <t>Chỉ chọn 1 trong các option này (dựa vào màu sơn tủ)
số mặt cửa =1: Khối lượng = số khung+2
số mặt cửa =2: Khối lượng = (số khung)x2+2</t>
  </si>
  <si>
    <t>số lượng tùy chọn (mặc định để 0, hiển thị warning màu nổi bật, người dùng tự nhập)</t>
  </si>
  <si>
    <t>Có option lựa chọn MCT dạng lắp trên bus bar hay dạng luồn cáp
Điều kiện tiên quyết: "bảo vệ chạm đất"&lt;&gt;0----&gt;Khối lượng dựa vào dòng định mức CB tổng, ví dụ CB 250A sẽ lựa chọn MCT 250/5 3 cái &amp; PCT 250/A 4 cái</t>
  </si>
  <si>
    <t>Chỉ chọn 1 trong các option này---&gt;số lượng tùy chọn (mặc định để 1)</t>
  </si>
  <si>
    <t>Chỉ sử dụng khi CB tổng là ACB (mặc định =0)--&gt;số lượng tùy chọn theo số lượng cực ACB, ví dụ ACB 3 cực, số lượng =3; ACB 4 cực, số lượng =4</t>
  </si>
  <si>
    <t>Sử dụng khi CB tổng khác ACB
dựa vào độ dày thanh đồng (số phía sau là độ dày) &amp; số cực CB tổng, ví dụ: bus 30x8 &amp; CB tổng 3 pha thì dùng 3 rãnh, 10mm; bus 20x5 &amp; CB tổng 3 pha thì dùng 3 rãnh, 10mm; trường hợp không có rãnh 6 cho option đó thì dùng rãnh 10
Số lượng số lượng tùy chọn, mặc định: 2</t>
  </si>
  <si>
    <t>số lượng tùy chọn (mặc định để 1, tôi sẽ edit lại số này--&gt;cần có phương thức edit mặc định)</t>
  </si>
  <si>
    <t>số lượng tùy chọn (mặc định để 20, tôi sẽ edit lại số này--&gt;cần có phương thức edit mặc định)</t>
  </si>
  <si>
    <t>số lượng tùy chọn (mặc định để 24, tôi sẽ edit lại số này--&gt;cần có phương thức edit mặc định)</t>
  </si>
  <si>
    <t>số lượng tùy chọn (mặc định để 0.1, tôi sẽ edit lại số này--&gt;cần có phương thức edit mặc định)</t>
  </si>
  <si>
    <t>số lượng tùy chọn (mặc định để 2, tôi sẽ edit lại số này--&gt;cần có phương thức edit mặc định)</t>
  </si>
  <si>
    <t>số lượng tùy chọn (mặc định để 0, tôi sẽ edit lại số này--&gt;cần có phương thức edit mặc định)</t>
  </si>
  <si>
    <t>Loại đúc, chữ nhật</t>
  </si>
  <si>
    <t>CB</t>
  </si>
  <si>
    <t>100A</t>
  </si>
  <si>
    <t>3P</t>
  </si>
  <si>
    <t>N</t>
  </si>
  <si>
    <t>PE</t>
  </si>
  <si>
    <t>20x5</t>
  </si>
  <si>
    <t>150A</t>
  </si>
  <si>
    <t>20x8</t>
  </si>
  <si>
    <t>200A</t>
  </si>
  <si>
    <t>250A</t>
  </si>
  <si>
    <t>300A</t>
  </si>
  <si>
    <t>30x10</t>
  </si>
  <si>
    <t>350A</t>
  </si>
  <si>
    <t>25x8</t>
  </si>
  <si>
    <t>400A</t>
  </si>
  <si>
    <t>40x8</t>
  </si>
  <si>
    <t>30x8</t>
  </si>
  <si>
    <t>450A</t>
  </si>
  <si>
    <t>500A</t>
  </si>
  <si>
    <t>630A</t>
  </si>
  <si>
    <t>40x10</t>
  </si>
  <si>
    <t>800A</t>
  </si>
  <si>
    <t>50x10</t>
  </si>
  <si>
    <t>1000A</t>
  </si>
  <si>
    <t>50x10x2</t>
  </si>
  <si>
    <t>1250A</t>
  </si>
  <si>
    <t>1600A</t>
  </si>
  <si>
    <t>Vỏ tủ điện W4500xH2100xD600x2.0mm, tủ khung, màu RAL 7032</t>
  </si>
  <si>
    <t>W4500xH2100xD600x2.0mm</t>
  </si>
  <si>
    <t>Chỉ hiển thị khi chọn CB tổng tương ứng, quy ước xem sheet busbar; số lượng tùy chọn (mặc định để 2, tôi sẽ edit lại số này--&gt;cần có phương thức edit mặc định)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</si>
</sst>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Times New Roman"/>
      <family val="2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name val="VNI-Times"/>
    </font>
    <font>
      <sz val="10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5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6" fillId="0" borderId="1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omma 2" xfId="1"/>
    <cellStyle name="Normal" xfId="0" builtinId="0"/>
    <cellStyle name="Normal 2" xfId="3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23" Type="http://schemas.microsoft.com/office/2017/10/relationships/person" Target="persons/person0.xml"/><Relationship Id="rId4" Type="http://schemas.openxmlformats.org/officeDocument/2006/relationships/styles" Target="styles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13"/>
  <sheetViews>
    <sheetView tabSelected="1" zoomScale="61" workbookViewId="0">
      <selection activeCell="C16" sqref="C16"/>
    </sheetView>
  </sheetViews>
  <sheetFormatPr defaultRowHeight="14.4" x14ac:dyDescent="0.3"/>
  <cols>
    <col min="2" max="2" width="40.5546875" bestFit="1" customWidth="1"/>
    <col min="3" max="3" width="64.109375" bestFit="1" customWidth="1"/>
    <col min="4" max="4" width="38.5546875" bestFit="1" customWidth="1"/>
    <col min="5" max="5" width="14" bestFit="1" customWidth="1"/>
    <col min="6" max="6" width="11.44140625" customWidth="1"/>
    <col min="7" max="7" width="17" bestFit="1" customWidth="1"/>
    <col min="8" max="8" width="51.33203125" customWidth="1"/>
  </cols>
  <sheetData>
    <row r="3" spans="2:8" x14ac:dyDescent="0.3">
      <c r="B3" t="s">
        <v>303</v>
      </c>
      <c r="C3" s="1" t="s">
        <v>0</v>
      </c>
      <c r="D3" s="1" t="s">
        <v>211</v>
      </c>
      <c r="E3" s="1" t="s">
        <v>212</v>
      </c>
      <c r="F3" s="1" t="s">
        <v>255</v>
      </c>
      <c r="G3" s="1" t="s">
        <v>369</v>
      </c>
      <c r="H3" s="1" t="s">
        <v>371</v>
      </c>
    </row>
    <row r="4" spans="2:8" x14ac:dyDescent="0.3">
      <c r="B4" t="str">
        <f>MID(C4,11,LEN(C4)-34)&amp;"_7032"</f>
        <v xml:space="preserve"> W800xH2100xD600x2.0mm_7032</v>
      </c>
      <c r="C4" t="s">
        <v>213</v>
      </c>
      <c r="D4" t="s">
        <v>214</v>
      </c>
      <c r="E4" t="s">
        <v>95</v>
      </c>
      <c r="F4" t="s">
        <v>111</v>
      </c>
      <c r="H4" s="6" t="s">
        <v>393</v>
      </c>
    </row>
    <row r="5" spans="2:8" x14ac:dyDescent="0.3">
      <c r="B5" t="str">
        <f>MID(C5,11,LEN(C5)-34)&amp;"_7032"</f>
        <v xml:space="preserve"> W1600xH2100xD600x2.0mm_7032</v>
      </c>
      <c r="C5" t="s">
        <v>215</v>
      </c>
      <c r="D5" t="s">
        <v>216</v>
      </c>
      <c r="E5" t="s">
        <v>95</v>
      </c>
      <c r="F5" t="s">
        <v>111</v>
      </c>
      <c r="H5" s="6"/>
    </row>
    <row r="6" spans="2:8" x14ac:dyDescent="0.3">
      <c r="B6" t="str">
        <f t="shared" ref="B6:B23" si="0">MID(C6,11,LEN(C6)-34)&amp;"_7032"</f>
        <v xml:space="preserve"> W2400xH2100xD600x2.0mm_7032</v>
      </c>
      <c r="C6" t="s">
        <v>217</v>
      </c>
      <c r="D6" t="s">
        <v>218</v>
      </c>
      <c r="E6" t="s">
        <v>95</v>
      </c>
      <c r="F6" t="s">
        <v>111</v>
      </c>
      <c r="H6" s="6"/>
    </row>
    <row r="7" spans="2:8" x14ac:dyDescent="0.3">
      <c r="B7" t="str">
        <f t="shared" si="0"/>
        <v xml:space="preserve"> W3200xH2100xD600x2.0mm_7032</v>
      </c>
      <c r="C7" t="s">
        <v>219</v>
      </c>
      <c r="D7" t="s">
        <v>220</v>
      </c>
      <c r="E7" t="s">
        <v>95</v>
      </c>
      <c r="F7" t="s">
        <v>111</v>
      </c>
      <c r="H7" s="6"/>
    </row>
    <row r="8" spans="2:8" x14ac:dyDescent="0.3">
      <c r="B8" t="str">
        <f t="shared" si="0"/>
        <v xml:space="preserve"> W3600xH2100xD600x2.0mm_7032</v>
      </c>
      <c r="C8" t="s">
        <v>224</v>
      </c>
      <c r="D8" t="s">
        <v>278</v>
      </c>
      <c r="E8" t="s">
        <v>95</v>
      </c>
      <c r="F8" t="s">
        <v>111</v>
      </c>
      <c r="H8" s="6"/>
    </row>
    <row r="9" spans="2:8" x14ac:dyDescent="0.3">
      <c r="B9" t="str">
        <f t="shared" si="0"/>
        <v xml:space="preserve"> W900xH2100xD600x2.0mm_7032</v>
      </c>
      <c r="C9" t="s">
        <v>221</v>
      </c>
      <c r="D9" t="s">
        <v>280</v>
      </c>
      <c r="E9" t="s">
        <v>95</v>
      </c>
      <c r="F9" t="s">
        <v>111</v>
      </c>
      <c r="H9" s="6"/>
    </row>
    <row r="10" spans="2:8" x14ac:dyDescent="0.3">
      <c r="B10" t="str">
        <f t="shared" si="0"/>
        <v xml:space="preserve"> W1800xH2100xD600x2.0mm_7032</v>
      </c>
      <c r="C10" t="s">
        <v>222</v>
      </c>
      <c r="D10" t="s">
        <v>279</v>
      </c>
      <c r="E10" t="s">
        <v>95</v>
      </c>
      <c r="F10" t="s">
        <v>111</v>
      </c>
      <c r="H10" s="6"/>
    </row>
    <row r="11" spans="2:8" x14ac:dyDescent="0.3">
      <c r="B11" t="str">
        <f t="shared" si="0"/>
        <v xml:space="preserve"> W2700xH2100xD600x2.0mm_7032</v>
      </c>
      <c r="C11" t="s">
        <v>223</v>
      </c>
      <c r="D11" t="s">
        <v>277</v>
      </c>
      <c r="E11" t="s">
        <v>95</v>
      </c>
      <c r="F11" t="s">
        <v>111</v>
      </c>
      <c r="H11" s="6"/>
    </row>
    <row r="12" spans="2:8" x14ac:dyDescent="0.3">
      <c r="B12" t="str">
        <f t="shared" si="0"/>
        <v xml:space="preserve"> W3600xH2100xD600x2.0mm_7032</v>
      </c>
      <c r="C12" t="s">
        <v>224</v>
      </c>
      <c r="D12" t="s">
        <v>278</v>
      </c>
      <c r="E12" t="s">
        <v>95</v>
      </c>
      <c r="F12" t="s">
        <v>111</v>
      </c>
      <c r="H12" s="6"/>
    </row>
    <row r="13" spans="2:8" x14ac:dyDescent="0.3">
      <c r="B13" t="str">
        <f t="shared" ref="B13" si="1">MID(C13,11,LEN(C13)-34)&amp;"_7032"</f>
        <v xml:space="preserve"> W4500xH2100xD600x2.0mm_7032</v>
      </c>
      <c r="C13" t="s">
        <v>441</v>
      </c>
      <c r="D13" t="s">
        <v>442</v>
      </c>
      <c r="E13" t="s">
        <v>95</v>
      </c>
      <c r="F13" t="s">
        <v>111</v>
      </c>
      <c r="H13" s="6"/>
    </row>
    <row r="14" spans="2:8" x14ac:dyDescent="0.3">
      <c r="B14" t="str">
        <f t="shared" si="0"/>
        <v xml:space="preserve"> W800xH2100xD800x2.0mm_7032</v>
      </c>
      <c r="C14" t="s">
        <v>225</v>
      </c>
      <c r="D14" t="s">
        <v>226</v>
      </c>
      <c r="E14" t="s">
        <v>95</v>
      </c>
      <c r="F14" t="s">
        <v>111</v>
      </c>
      <c r="H14" s="6"/>
    </row>
    <row r="15" spans="2:8" x14ac:dyDescent="0.3">
      <c r="B15" t="str">
        <f t="shared" si="0"/>
        <v xml:space="preserve"> W1600xH2100xD800x2.0mm_7032</v>
      </c>
      <c r="C15" t="s">
        <v>227</v>
      </c>
      <c r="D15" t="s">
        <v>228</v>
      </c>
      <c r="E15" t="s">
        <v>95</v>
      </c>
      <c r="F15" t="s">
        <v>111</v>
      </c>
      <c r="H15" s="6"/>
    </row>
    <row r="16" spans="2:8" x14ac:dyDescent="0.3">
      <c r="B16" t="str">
        <f t="shared" si="0"/>
        <v xml:space="preserve"> W2400xH2100xD800x2.0mm_7032</v>
      </c>
      <c r="C16" t="s">
        <v>229</v>
      </c>
      <c r="D16" t="s">
        <v>230</v>
      </c>
      <c r="E16" t="s">
        <v>95</v>
      </c>
      <c r="F16" t="s">
        <v>111</v>
      </c>
      <c r="H16" s="6"/>
    </row>
    <row r="17" spans="2:8" x14ac:dyDescent="0.3">
      <c r="B17" t="str">
        <f t="shared" si="0"/>
        <v xml:space="preserve"> W3200xH2100xD800x2.0mm_7032</v>
      </c>
      <c r="C17" t="s">
        <v>236</v>
      </c>
      <c r="D17" t="s">
        <v>237</v>
      </c>
      <c r="E17" t="s">
        <v>95</v>
      </c>
      <c r="F17" t="s">
        <v>111</v>
      </c>
      <c r="H17" s="6"/>
    </row>
    <row r="18" spans="2:8" x14ac:dyDescent="0.3">
      <c r="B18" t="str">
        <f t="shared" si="0"/>
        <v xml:space="preserve"> W4000xH2100xD800x2.0mm_7032</v>
      </c>
      <c r="C18" t="s">
        <v>231</v>
      </c>
      <c r="D18" t="s">
        <v>232</v>
      </c>
      <c r="E18" t="s">
        <v>95</v>
      </c>
      <c r="F18" t="s">
        <v>111</v>
      </c>
      <c r="H18" s="6"/>
    </row>
    <row r="19" spans="2:8" x14ac:dyDescent="0.3">
      <c r="B19" t="str">
        <f t="shared" si="0"/>
        <v xml:space="preserve"> W900xH2100xD800x2.0mm_7032</v>
      </c>
      <c r="C19" t="s">
        <v>233</v>
      </c>
      <c r="D19" t="s">
        <v>238</v>
      </c>
      <c r="E19" t="s">
        <v>95</v>
      </c>
      <c r="F19" t="s">
        <v>111</v>
      </c>
      <c r="H19" s="6"/>
    </row>
    <row r="20" spans="2:8" x14ac:dyDescent="0.3">
      <c r="B20" t="str">
        <f t="shared" si="0"/>
        <v xml:space="preserve"> W1800xH2100xD800x2.0mm_7032</v>
      </c>
      <c r="C20" t="s">
        <v>234</v>
      </c>
      <c r="D20" t="s">
        <v>239</v>
      </c>
      <c r="E20" t="s">
        <v>95</v>
      </c>
      <c r="F20" t="s">
        <v>111</v>
      </c>
      <c r="H20" s="6"/>
    </row>
    <row r="21" spans="2:8" x14ac:dyDescent="0.3">
      <c r="B21" t="str">
        <f t="shared" si="0"/>
        <v xml:space="preserve"> W2700xH2100xD800x2.0mm_7032</v>
      </c>
      <c r="C21" t="s">
        <v>235</v>
      </c>
      <c r="D21" t="s">
        <v>240</v>
      </c>
      <c r="E21" t="s">
        <v>95</v>
      </c>
      <c r="F21" t="s">
        <v>111</v>
      </c>
      <c r="H21" s="6"/>
    </row>
    <row r="22" spans="2:8" x14ac:dyDescent="0.3">
      <c r="B22" t="str">
        <f t="shared" si="0"/>
        <v xml:space="preserve"> W3600xH2100xD900x2.0mm_7032</v>
      </c>
      <c r="C22" t="s">
        <v>293</v>
      </c>
      <c r="D22" t="s">
        <v>294</v>
      </c>
      <c r="E22" t="s">
        <v>95</v>
      </c>
      <c r="F22" t="s">
        <v>111</v>
      </c>
      <c r="H22" s="6"/>
    </row>
    <row r="23" spans="2:8" x14ac:dyDescent="0.3">
      <c r="B23" t="str">
        <f t="shared" si="0"/>
        <v xml:space="preserve"> W4500xH2100xD800x2.0mm_7032</v>
      </c>
      <c r="C23" t="s">
        <v>242</v>
      </c>
      <c r="D23" t="s">
        <v>241</v>
      </c>
      <c r="E23" t="s">
        <v>95</v>
      </c>
      <c r="F23" t="s">
        <v>111</v>
      </c>
      <c r="H23" s="6"/>
    </row>
    <row r="24" spans="2:8" x14ac:dyDescent="0.3">
      <c r="B24" t="s">
        <v>368</v>
      </c>
      <c r="C24" t="s">
        <v>257</v>
      </c>
      <c r="D24" t="s">
        <v>237</v>
      </c>
      <c r="E24" t="s">
        <v>95</v>
      </c>
      <c r="F24" t="s">
        <v>111</v>
      </c>
      <c r="H24" s="6"/>
    </row>
    <row r="25" spans="2:8" x14ac:dyDescent="0.3">
      <c r="B25" s="2" t="s">
        <v>354</v>
      </c>
      <c r="C25" t="s">
        <v>2</v>
      </c>
      <c r="E25" t="s">
        <v>95</v>
      </c>
      <c r="F25" t="s">
        <v>252</v>
      </c>
      <c r="H25" t="s">
        <v>375</v>
      </c>
    </row>
    <row r="26" spans="2:8" x14ac:dyDescent="0.3">
      <c r="C26" t="s">
        <v>243</v>
      </c>
      <c r="D26" s="2" t="s">
        <v>246</v>
      </c>
      <c r="E26" s="2" t="s">
        <v>246</v>
      </c>
      <c r="F26" t="s">
        <v>111</v>
      </c>
      <c r="H26" t="s">
        <v>372</v>
      </c>
    </row>
    <row r="27" spans="2:8" x14ac:dyDescent="0.3">
      <c r="C27" t="s">
        <v>244</v>
      </c>
      <c r="D27" s="2" t="s">
        <v>246</v>
      </c>
      <c r="E27" s="2" t="s">
        <v>246</v>
      </c>
      <c r="F27" t="s">
        <v>111</v>
      </c>
      <c r="H27" t="s">
        <v>370</v>
      </c>
    </row>
    <row r="28" spans="2:8" x14ac:dyDescent="0.3">
      <c r="B28" s="4">
        <v>5094656</v>
      </c>
      <c r="C28" t="s">
        <v>55</v>
      </c>
      <c r="D28">
        <v>5094656</v>
      </c>
      <c r="E28" t="s">
        <v>54</v>
      </c>
      <c r="F28" t="s">
        <v>160</v>
      </c>
      <c r="H28" s="5" t="s">
        <v>404</v>
      </c>
    </row>
    <row r="29" spans="2:8" x14ac:dyDescent="0.3">
      <c r="B29" s="4">
        <v>5093654</v>
      </c>
      <c r="C29" t="s">
        <v>286</v>
      </c>
      <c r="D29">
        <v>5093654</v>
      </c>
      <c r="E29" t="s">
        <v>54</v>
      </c>
      <c r="F29" t="s">
        <v>160</v>
      </c>
      <c r="H29" s="5"/>
    </row>
    <row r="30" spans="2:8" x14ac:dyDescent="0.3">
      <c r="B30" t="s">
        <v>6</v>
      </c>
      <c r="C30" t="s">
        <v>3</v>
      </c>
      <c r="D30" t="s">
        <v>6</v>
      </c>
      <c r="E30" t="s">
        <v>9</v>
      </c>
      <c r="F30" t="s">
        <v>111</v>
      </c>
      <c r="H30" t="s">
        <v>374</v>
      </c>
    </row>
    <row r="31" spans="2:8" x14ac:dyDescent="0.3">
      <c r="B31" t="s">
        <v>7</v>
      </c>
      <c r="C31" t="s">
        <v>4</v>
      </c>
      <c r="D31" t="s">
        <v>7</v>
      </c>
      <c r="E31" t="s">
        <v>9</v>
      </c>
      <c r="F31" t="s">
        <v>111</v>
      </c>
      <c r="H31" t="s">
        <v>374</v>
      </c>
    </row>
    <row r="32" spans="2:8" x14ac:dyDescent="0.3">
      <c r="B32" t="s">
        <v>8</v>
      </c>
      <c r="C32" t="s">
        <v>5</v>
      </c>
      <c r="D32" t="s">
        <v>8</v>
      </c>
      <c r="E32" t="s">
        <v>9</v>
      </c>
      <c r="F32" t="s">
        <v>111</v>
      </c>
      <c r="H32" t="s">
        <v>374</v>
      </c>
    </row>
    <row r="33" spans="2:8" x14ac:dyDescent="0.3">
      <c r="B33" t="s">
        <v>363</v>
      </c>
      <c r="C33" t="s">
        <v>53</v>
      </c>
      <c r="D33" t="s">
        <v>363</v>
      </c>
      <c r="E33" t="s">
        <v>17</v>
      </c>
      <c r="F33" t="s">
        <v>160</v>
      </c>
      <c r="H33" t="s">
        <v>373</v>
      </c>
    </row>
    <row r="34" spans="2:8" x14ac:dyDescent="0.3">
      <c r="B34" t="s">
        <v>12</v>
      </c>
      <c r="C34" t="s">
        <v>11</v>
      </c>
      <c r="D34" t="s">
        <v>12</v>
      </c>
      <c r="E34" t="s">
        <v>9</v>
      </c>
      <c r="F34" t="s">
        <v>111</v>
      </c>
      <c r="H34" t="s">
        <v>375</v>
      </c>
    </row>
    <row r="35" spans="2:8" x14ac:dyDescent="0.3">
      <c r="B35" t="s">
        <v>14</v>
      </c>
      <c r="C35" t="s">
        <v>13</v>
      </c>
      <c r="D35" t="s">
        <v>14</v>
      </c>
      <c r="E35" t="s">
        <v>9</v>
      </c>
      <c r="F35" t="s">
        <v>111</v>
      </c>
      <c r="H35" t="s">
        <v>376</v>
      </c>
    </row>
    <row r="36" spans="2:8" x14ac:dyDescent="0.3">
      <c r="B36" s="2" t="s">
        <v>353</v>
      </c>
      <c r="C36" t="s">
        <v>58</v>
      </c>
      <c r="E36" t="s">
        <v>59</v>
      </c>
      <c r="F36" t="s">
        <v>111</v>
      </c>
      <c r="H36" t="s">
        <v>375</v>
      </c>
    </row>
    <row r="37" spans="2:8" x14ac:dyDescent="0.3">
      <c r="B37" t="s">
        <v>15</v>
      </c>
      <c r="C37" t="s">
        <v>24</v>
      </c>
      <c r="D37" t="s">
        <v>15</v>
      </c>
      <c r="E37" t="s">
        <v>16</v>
      </c>
      <c r="F37" t="s">
        <v>160</v>
      </c>
      <c r="H37" s="5" t="s">
        <v>404</v>
      </c>
    </row>
    <row r="38" spans="2:8" x14ac:dyDescent="0.3">
      <c r="B38" t="s">
        <v>26</v>
      </c>
      <c r="C38" t="s">
        <v>25</v>
      </c>
      <c r="D38" t="s">
        <v>26</v>
      </c>
      <c r="E38" t="s">
        <v>1</v>
      </c>
      <c r="F38" t="s">
        <v>160</v>
      </c>
      <c r="H38" s="5"/>
    </row>
    <row r="39" spans="2:8" x14ac:dyDescent="0.3">
      <c r="B39" t="s">
        <v>19</v>
      </c>
      <c r="C39" t="s">
        <v>256</v>
      </c>
      <c r="D39" t="s">
        <v>19</v>
      </c>
      <c r="E39" t="s">
        <v>20</v>
      </c>
      <c r="F39" t="s">
        <v>160</v>
      </c>
      <c r="H39" s="5" t="s">
        <v>404</v>
      </c>
    </row>
    <row r="40" spans="2:8" x14ac:dyDescent="0.3">
      <c r="B40" t="s">
        <v>291</v>
      </c>
      <c r="C40" t="s">
        <v>18</v>
      </c>
      <c r="D40" t="s">
        <v>291</v>
      </c>
      <c r="E40" t="s">
        <v>20</v>
      </c>
      <c r="F40" t="s">
        <v>160</v>
      </c>
      <c r="H40" s="5"/>
    </row>
    <row r="41" spans="2:8" ht="15" customHeight="1" x14ac:dyDescent="0.3">
      <c r="B41" t="s">
        <v>292</v>
      </c>
      <c r="C41" t="s">
        <v>21</v>
      </c>
      <c r="D41" t="s">
        <v>292</v>
      </c>
      <c r="E41" t="s">
        <v>20</v>
      </c>
      <c r="F41" t="s">
        <v>160</v>
      </c>
      <c r="H41" s="5" t="s">
        <v>404</v>
      </c>
    </row>
    <row r="42" spans="2:8" x14ac:dyDescent="0.3">
      <c r="B42" t="s">
        <v>302</v>
      </c>
      <c r="C42" t="s">
        <v>22</v>
      </c>
      <c r="D42" t="s">
        <v>302</v>
      </c>
      <c r="E42" t="s">
        <v>20</v>
      </c>
      <c r="F42" t="s">
        <v>160</v>
      </c>
      <c r="H42" s="5"/>
    </row>
    <row r="43" spans="2:8" x14ac:dyDescent="0.3">
      <c r="B43" s="2" t="s">
        <v>265</v>
      </c>
      <c r="C43" t="s">
        <v>23</v>
      </c>
      <c r="D43" s="2" t="s">
        <v>265</v>
      </c>
      <c r="E43" t="s">
        <v>20</v>
      </c>
      <c r="F43" t="s">
        <v>111</v>
      </c>
      <c r="H43" t="s">
        <v>377</v>
      </c>
    </row>
    <row r="44" spans="2:8" ht="15" customHeight="1" x14ac:dyDescent="0.3">
      <c r="B44" t="s">
        <v>378</v>
      </c>
      <c r="C44" t="s">
        <v>380</v>
      </c>
      <c r="D44" s="2" t="s">
        <v>246</v>
      </c>
      <c r="E44" t="s">
        <v>17</v>
      </c>
      <c r="F44" t="s">
        <v>111</v>
      </c>
      <c r="G44" t="s">
        <v>381</v>
      </c>
      <c r="H44" s="6" t="s">
        <v>403</v>
      </c>
    </row>
    <row r="45" spans="2:8" x14ac:dyDescent="0.3">
      <c r="B45" t="s">
        <v>379</v>
      </c>
      <c r="C45" t="s">
        <v>28</v>
      </c>
      <c r="D45" s="2" t="s">
        <v>246</v>
      </c>
      <c r="E45" t="s">
        <v>17</v>
      </c>
      <c r="F45" t="s">
        <v>111</v>
      </c>
      <c r="G45" t="s">
        <v>381</v>
      </c>
      <c r="H45" s="6"/>
    </row>
    <row r="46" spans="2:8" x14ac:dyDescent="0.3">
      <c r="B46" t="s">
        <v>382</v>
      </c>
      <c r="C46" t="s">
        <v>29</v>
      </c>
      <c r="D46" s="2" t="s">
        <v>246</v>
      </c>
      <c r="E46" t="s">
        <v>17</v>
      </c>
      <c r="F46" t="s">
        <v>111</v>
      </c>
      <c r="G46" t="s">
        <v>381</v>
      </c>
      <c r="H46" s="6"/>
    </row>
    <row r="47" spans="2:8" x14ac:dyDescent="0.3">
      <c r="B47" t="str" cm="1">
        <f t="array" ref="B47">LEFT(C47,3) &amp; "_" &amp; SUBSTITUTE(TRIM(_xlfn.FILTERXML("&lt;t&gt;&lt;s&gt;"&amp;SUBSTITUTE(C47,",","&lt;/s&gt;&lt;s&gt;")&amp;"&lt;/s&gt;&lt;/t&gt;","//s[contains(.,'/')]")),"/","-") &amp; "_" &amp; SUBSTITUTE(TRIM(_xlfn.FILTERXML("&lt;t&gt;&lt;s&gt;"&amp;SUBSTITUTE(C47,",","&lt;/s&gt;&lt;s&gt;")&amp;"&lt;/s&gt;&lt;/t&gt;","//s[contains(.,'CL.')]")),"-","_")</f>
        <v>PCT_100-5_CL.5P10_5VA</v>
      </c>
      <c r="C47" t="s">
        <v>27</v>
      </c>
      <c r="D47" s="2" t="s">
        <v>246</v>
      </c>
      <c r="E47" t="s">
        <v>17</v>
      </c>
      <c r="F47" t="s">
        <v>111</v>
      </c>
      <c r="G47" t="s">
        <v>381</v>
      </c>
      <c r="H47" s="6"/>
    </row>
    <row r="48" spans="2:8" x14ac:dyDescent="0.3">
      <c r="B48" t="str" cm="1">
        <f t="array" ref="B48">LEFT(C48,3) &amp; "_" &amp; SUBSTITUTE(TRIM(_xlfn.FILTERXML("&lt;t&gt;&lt;s&gt;"&amp;SUBSTITUTE(C48,",","&lt;/s&gt;&lt;s&gt;")&amp;"&lt;/s&gt;&lt;/t&gt;","//s[contains(.,'/')]")),"/","-") &amp; "_" &amp; SUBSTITUTE(TRIM(_xlfn.FILTERXML("&lt;t&gt;&lt;s&gt;"&amp;SUBSTITUTE(C48,",","&lt;/s&gt;&lt;s&gt;")&amp;"&lt;/s&gt;&lt;/t&gt;","//s[contains(.,'CL.')]")),"-","_")</f>
        <v>MCT_150-5_CL.1_5VA</v>
      </c>
      <c r="C48" t="s">
        <v>30</v>
      </c>
      <c r="D48" s="2" t="s">
        <v>246</v>
      </c>
      <c r="E48" t="s">
        <v>17</v>
      </c>
      <c r="F48" t="s">
        <v>111</v>
      </c>
      <c r="G48" t="s">
        <v>381</v>
      </c>
      <c r="H48" s="6"/>
    </row>
    <row r="49" spans="2:8" x14ac:dyDescent="0.3">
      <c r="B49" t="str" cm="1">
        <f t="array" ref="B49">LEFT(C49,3) &amp; "_" &amp; SUBSTITUTE(TRIM(_xlfn.FILTERXML("&lt;t&gt;&lt;s&gt;"&amp;SUBSTITUTE(C49,",","&lt;/s&gt;&lt;s&gt;")&amp;"&lt;/s&gt;&lt;/t&gt;","//s[contains(.,'/')]")),"/","-") &amp; "_" &amp; SUBSTITUTE(TRIM(_xlfn.FILTERXML("&lt;t&gt;&lt;s&gt;"&amp;SUBSTITUTE(C49,",","&lt;/s&gt;&lt;s&gt;")&amp;"&lt;/s&gt;&lt;/t&gt;","//s[contains(.,'CL.')]")),"-","_")</f>
        <v>PCT_150-5_CL.5P10_5VA</v>
      </c>
      <c r="C49" t="s">
        <v>31</v>
      </c>
      <c r="D49" s="2" t="s">
        <v>246</v>
      </c>
      <c r="E49" t="s">
        <v>17</v>
      </c>
      <c r="F49" t="s">
        <v>111</v>
      </c>
      <c r="G49" t="s">
        <v>381</v>
      </c>
      <c r="H49" s="6"/>
    </row>
    <row r="50" spans="2:8" x14ac:dyDescent="0.3">
      <c r="B50" t="str" cm="1">
        <f t="array" ref="B50">LEFT(C50,3) &amp; "_" &amp; SUBSTITUTE(TRIM(_xlfn.FILTERXML("&lt;t&gt;&lt;s&gt;"&amp;SUBSTITUTE(C50,",","&lt;/s&gt;&lt;s&gt;")&amp;"&lt;/s&gt;&lt;/t&gt;","//s[contains(.,'/')]")),"/","-") &amp; "_" &amp; SUBSTITUTE(TRIM(_xlfn.FILTERXML("&lt;t&gt;&lt;s&gt;"&amp;SUBSTITUTE(C50,",","&lt;/s&gt;&lt;s&gt;")&amp;"&lt;/s&gt;&lt;/t&gt;","//s[contains(.,'CL.')]")),"-","_")</f>
        <v>MCT_200-5_CL.1_5VA</v>
      </c>
      <c r="C50" t="s">
        <v>32</v>
      </c>
      <c r="D50" s="2" t="s">
        <v>246</v>
      </c>
      <c r="E50" t="s">
        <v>17</v>
      </c>
      <c r="F50" t="s">
        <v>111</v>
      </c>
      <c r="G50" t="s">
        <v>381</v>
      </c>
      <c r="H50" s="6"/>
    </row>
    <row r="51" spans="2:8" x14ac:dyDescent="0.3">
      <c r="B51" t="str" cm="1">
        <f t="array" ref="B51">LEFT(C51,3) &amp; "_" &amp; SUBSTITUTE(TRIM(_xlfn.FILTERXML("&lt;t&gt;&lt;s&gt;"&amp;SUBSTITUTE(C51,",","&lt;/s&gt;&lt;s&gt;")&amp;"&lt;/s&gt;&lt;/t&gt;","//s[contains(.,'/')]")),"/","-") &amp; "_" &amp; SUBSTITUTE(TRIM(_xlfn.FILTERXML("&lt;t&gt;&lt;s&gt;"&amp;SUBSTITUTE(C51,",","&lt;/s&gt;&lt;s&gt;")&amp;"&lt;/s&gt;&lt;/t&gt;","//s[contains(.,'CL.')]")),"-","_")</f>
        <v>PCT_200-5_CL.5P10_5VA</v>
      </c>
      <c r="C51" t="s">
        <v>33</v>
      </c>
      <c r="D51" s="2" t="s">
        <v>246</v>
      </c>
      <c r="E51" t="s">
        <v>17</v>
      </c>
      <c r="F51" t="s">
        <v>111</v>
      </c>
      <c r="G51" t="s">
        <v>381</v>
      </c>
      <c r="H51" s="6"/>
    </row>
    <row r="52" spans="2:8" x14ac:dyDescent="0.3">
      <c r="B52" t="str" cm="1">
        <f t="array" ref="B52">LEFT(C52,3) &amp; "_" &amp; SUBSTITUTE(TRIM(_xlfn.FILTERXML("&lt;t&gt;&lt;s&gt;"&amp;SUBSTITUTE(C52,",","&lt;/s&gt;&lt;s&gt;")&amp;"&lt;/s&gt;&lt;/t&gt;","//s[contains(.,'/')]")),"/","-") &amp; "_" &amp; SUBSTITUTE(TRIM(_xlfn.FILTERXML("&lt;t&gt;&lt;s&gt;"&amp;SUBSTITUTE(C52,",","&lt;/s&gt;&lt;s&gt;")&amp;"&lt;/s&gt;&lt;/t&gt;","//s[contains(.,'CL.')]")),"-","_")</f>
        <v>MCT_250-5_CL.1_5VA</v>
      </c>
      <c r="C52" t="s">
        <v>34</v>
      </c>
      <c r="D52" s="2" t="s">
        <v>246</v>
      </c>
      <c r="E52" t="s">
        <v>17</v>
      </c>
      <c r="F52" t="s">
        <v>111</v>
      </c>
      <c r="G52" t="s">
        <v>381</v>
      </c>
      <c r="H52" s="6"/>
    </row>
    <row r="53" spans="2:8" x14ac:dyDescent="0.3">
      <c r="B53" t="str" cm="1">
        <f t="array" ref="B53">LEFT(C53,3) &amp; "_" &amp; SUBSTITUTE(TRIM(_xlfn.FILTERXML("&lt;t&gt;&lt;s&gt;"&amp;SUBSTITUTE(C53,",","&lt;/s&gt;&lt;s&gt;")&amp;"&lt;/s&gt;&lt;/t&gt;","//s[contains(.,'/')]")),"/","-") &amp; "_" &amp; SUBSTITUTE(TRIM(_xlfn.FILTERXML("&lt;t&gt;&lt;s&gt;"&amp;SUBSTITUTE(C53,",","&lt;/s&gt;&lt;s&gt;")&amp;"&lt;/s&gt;&lt;/t&gt;","//s[contains(.,'CL.')]")),"-","_")</f>
        <v>PCT_250-5_CL.5P10_5VA</v>
      </c>
      <c r="C53" t="s">
        <v>35</v>
      </c>
      <c r="D53" s="2" t="s">
        <v>246</v>
      </c>
      <c r="E53" t="s">
        <v>17</v>
      </c>
      <c r="F53" t="s">
        <v>111</v>
      </c>
      <c r="G53" t="s">
        <v>381</v>
      </c>
      <c r="H53" s="6"/>
    </row>
    <row r="54" spans="2:8" x14ac:dyDescent="0.3">
      <c r="B54" t="str" cm="1">
        <f t="array" ref="B54">LEFT(C54,3) &amp; "_" &amp; SUBSTITUTE(TRIM(_xlfn.FILTERXML("&lt;t&gt;&lt;s&gt;"&amp;SUBSTITUTE(C54,",","&lt;/s&gt;&lt;s&gt;")&amp;"&lt;/s&gt;&lt;/t&gt;","//s[contains(.,'/')]")),"/","-") &amp; "_" &amp; SUBSTITUTE(TRIM(_xlfn.FILTERXML("&lt;t&gt;&lt;s&gt;"&amp;SUBSTITUTE(C54,",","&lt;/s&gt;&lt;s&gt;")&amp;"&lt;/s&gt;&lt;/t&gt;","//s[contains(.,'CL.')]")),"-","_")</f>
        <v>MCT_300-5_CL.1_5VA</v>
      </c>
      <c r="C54" t="s">
        <v>36</v>
      </c>
      <c r="D54" s="2" t="s">
        <v>246</v>
      </c>
      <c r="E54" t="s">
        <v>17</v>
      </c>
      <c r="F54" t="s">
        <v>111</v>
      </c>
      <c r="G54" t="s">
        <v>381</v>
      </c>
      <c r="H54" s="6"/>
    </row>
    <row r="55" spans="2:8" x14ac:dyDescent="0.3">
      <c r="B55" t="str" cm="1">
        <f t="array" ref="B55">LEFT(C55,3) &amp; "_" &amp; SUBSTITUTE(TRIM(_xlfn.FILTERXML("&lt;t&gt;&lt;s&gt;"&amp;SUBSTITUTE(C55,",","&lt;/s&gt;&lt;s&gt;")&amp;"&lt;/s&gt;&lt;/t&gt;","//s[contains(.,'/')]")),"/","-") &amp; "_" &amp; SUBSTITUTE(TRIM(_xlfn.FILTERXML("&lt;t&gt;&lt;s&gt;"&amp;SUBSTITUTE(C55,",","&lt;/s&gt;&lt;s&gt;")&amp;"&lt;/s&gt;&lt;/t&gt;","//s[contains(.,'CL.')]")),"-","_")</f>
        <v>PCT_300-5_CL.5P10_5VA</v>
      </c>
      <c r="C55" t="s">
        <v>37</v>
      </c>
      <c r="D55" s="2" t="s">
        <v>246</v>
      </c>
      <c r="E55" t="s">
        <v>17</v>
      </c>
      <c r="F55" t="s">
        <v>111</v>
      </c>
      <c r="G55" t="s">
        <v>381</v>
      </c>
      <c r="H55" s="6"/>
    </row>
    <row r="56" spans="2:8" x14ac:dyDescent="0.3">
      <c r="B56" t="str" cm="1">
        <f t="array" ref="B56">LEFT(C56,3) &amp; "_" &amp; SUBSTITUTE(TRIM(_xlfn.FILTERXML("&lt;t&gt;&lt;s&gt;"&amp;SUBSTITUTE(C56,",","&lt;/s&gt;&lt;s&gt;")&amp;"&lt;/s&gt;&lt;/t&gt;","//s[contains(.,'/')]")),"/","-") &amp; "_" &amp; SUBSTITUTE(TRIM(_xlfn.FILTERXML("&lt;t&gt;&lt;s&gt;"&amp;SUBSTITUTE(C56,",","&lt;/s&gt;&lt;s&gt;")&amp;"&lt;/s&gt;&lt;/t&gt;","//s[contains(.,'CL.')]")),"-","_")</f>
        <v>MCT_400-5_CL.1_15VA</v>
      </c>
      <c r="C56" t="s">
        <v>39</v>
      </c>
      <c r="D56" s="2" t="s">
        <v>246</v>
      </c>
      <c r="E56" t="s">
        <v>17</v>
      </c>
      <c r="F56" t="s">
        <v>111</v>
      </c>
      <c r="G56" t="s">
        <v>381</v>
      </c>
      <c r="H56" s="6"/>
    </row>
    <row r="57" spans="2:8" x14ac:dyDescent="0.3">
      <c r="B57" t="str" cm="1">
        <f t="array" ref="B57">LEFT(C57,3) &amp; "_" &amp; SUBSTITUTE(TRIM(_xlfn.FILTERXML("&lt;t&gt;&lt;s&gt;"&amp;SUBSTITUTE(C57,",","&lt;/s&gt;&lt;s&gt;")&amp;"&lt;/s&gt;&lt;/t&gt;","//s[contains(.,'/')]")),"/","-") &amp; "_" &amp; SUBSTITUTE(TRIM(_xlfn.FILTERXML("&lt;t&gt;&lt;s&gt;"&amp;SUBSTITUTE(C57,",","&lt;/s&gt;&lt;s&gt;")&amp;"&lt;/s&gt;&lt;/t&gt;","//s[contains(.,'CL.')]")),"-","_")</f>
        <v>PCT_400-5_CL.5P10_15VA</v>
      </c>
      <c r="C57" t="s">
        <v>38</v>
      </c>
      <c r="D57" s="2" t="s">
        <v>246</v>
      </c>
      <c r="E57" t="s">
        <v>17</v>
      </c>
      <c r="F57" t="s">
        <v>111</v>
      </c>
      <c r="G57" t="s">
        <v>381</v>
      </c>
      <c r="H57" s="6"/>
    </row>
    <row r="58" spans="2:8" x14ac:dyDescent="0.3">
      <c r="B58" t="str" cm="1">
        <f t="array" ref="B58">LEFT(C58,3) &amp; "_" &amp; SUBSTITUTE(TRIM(_xlfn.FILTERXML("&lt;t&gt;&lt;s&gt;"&amp;SUBSTITUTE(C58,",","&lt;/s&gt;&lt;s&gt;")&amp;"&lt;/s&gt;&lt;/t&gt;","//s[contains(.,'/')]")),"/","-") &amp; "_" &amp; SUBSTITUTE(TRIM(_xlfn.FILTERXML("&lt;t&gt;&lt;s&gt;"&amp;SUBSTITUTE(C58,",","&lt;/s&gt;&lt;s&gt;")&amp;"&lt;/s&gt;&lt;/t&gt;","//s[contains(.,'CL.')]")),"-","_")</f>
        <v>MCT_500-5_CL.1_15VA</v>
      </c>
      <c r="C58" t="s">
        <v>40</v>
      </c>
      <c r="D58" s="2" t="s">
        <v>246</v>
      </c>
      <c r="E58" t="s">
        <v>17</v>
      </c>
      <c r="F58" t="s">
        <v>111</v>
      </c>
      <c r="G58" t="s">
        <v>381</v>
      </c>
      <c r="H58" s="6"/>
    </row>
    <row r="59" spans="2:8" x14ac:dyDescent="0.3">
      <c r="B59" t="str" cm="1">
        <f t="array" ref="B59">LEFT(C59,3) &amp; "_" &amp; SUBSTITUTE(TRIM(_xlfn.FILTERXML("&lt;t&gt;&lt;s&gt;"&amp;SUBSTITUTE(C59,",","&lt;/s&gt;&lt;s&gt;")&amp;"&lt;/s&gt;&lt;/t&gt;","//s[contains(.,'/')]")),"/","-") &amp; "_" &amp; SUBSTITUTE(TRIM(_xlfn.FILTERXML("&lt;t&gt;&lt;s&gt;"&amp;SUBSTITUTE(C59,",","&lt;/s&gt;&lt;s&gt;")&amp;"&lt;/s&gt;&lt;/t&gt;","//s[contains(.,'CL.')]")),"-","_")</f>
        <v>PCT_500-5_CL.5P10_15VA</v>
      </c>
      <c r="C59" t="s">
        <v>41</v>
      </c>
      <c r="D59" s="2" t="s">
        <v>246</v>
      </c>
      <c r="E59" t="s">
        <v>17</v>
      </c>
      <c r="F59" t="s">
        <v>111</v>
      </c>
      <c r="G59" t="s">
        <v>381</v>
      </c>
      <c r="H59" s="6"/>
    </row>
    <row r="60" spans="2:8" x14ac:dyDescent="0.3">
      <c r="B60" t="str" cm="1">
        <f t="array" ref="B60">LEFT(C60,3) &amp; "_" &amp; SUBSTITUTE(TRIM(_xlfn.FILTERXML("&lt;t&gt;&lt;s&gt;"&amp;SUBSTITUTE(C60,",","&lt;/s&gt;&lt;s&gt;")&amp;"&lt;/s&gt;&lt;/t&gt;","//s[contains(.,'/')]")),"/","-") &amp; "_" &amp; SUBSTITUTE(TRIM(_xlfn.FILTERXML("&lt;t&gt;&lt;s&gt;"&amp;SUBSTITUTE(C60,",","&lt;/s&gt;&lt;s&gt;")&amp;"&lt;/s&gt;&lt;/t&gt;","//s[contains(.,'CL.')]")),"-","_")</f>
        <v>MCT_600-5_CL.1_15VA</v>
      </c>
      <c r="C60" t="s">
        <v>42</v>
      </c>
      <c r="D60" s="2" t="s">
        <v>246</v>
      </c>
      <c r="E60" t="s">
        <v>17</v>
      </c>
      <c r="F60" t="s">
        <v>111</v>
      </c>
      <c r="G60" t="s">
        <v>381</v>
      </c>
      <c r="H60" s="6"/>
    </row>
    <row r="61" spans="2:8" x14ac:dyDescent="0.3">
      <c r="B61" t="str" cm="1">
        <f t="array" ref="B61">LEFT(C61,3) &amp; "_" &amp; SUBSTITUTE(TRIM(_xlfn.FILTERXML("&lt;t&gt;&lt;s&gt;"&amp;SUBSTITUTE(C61,",","&lt;/s&gt;&lt;s&gt;")&amp;"&lt;/s&gt;&lt;/t&gt;","//s[contains(.,'/')]")),"/","-") &amp; "_" &amp; SUBSTITUTE(TRIM(_xlfn.FILTERXML("&lt;t&gt;&lt;s&gt;"&amp;SUBSTITUTE(C61,",","&lt;/s&gt;&lt;s&gt;")&amp;"&lt;/s&gt;&lt;/t&gt;","//s[contains(.,'CL.')]")),"-","_")</f>
        <v>PCT_600-5_CL.5P10_15VA</v>
      </c>
      <c r="C61" t="s">
        <v>43</v>
      </c>
      <c r="D61" s="2" t="s">
        <v>246</v>
      </c>
      <c r="E61" t="s">
        <v>17</v>
      </c>
      <c r="F61" t="s">
        <v>111</v>
      </c>
      <c r="G61" t="s">
        <v>381</v>
      </c>
      <c r="H61" s="6"/>
    </row>
    <row r="62" spans="2:8" x14ac:dyDescent="0.3">
      <c r="B62" t="str" cm="1">
        <f t="array" ref="B62">LEFT(C62,3) &amp; "_" &amp; SUBSTITUTE(TRIM(_xlfn.FILTERXML("&lt;t&gt;&lt;s&gt;"&amp;SUBSTITUTE(C62,",","&lt;/s&gt;&lt;s&gt;")&amp;"&lt;/s&gt;&lt;/t&gt;","//s[contains(.,'/')]")),"/","-") &amp; "_" &amp; SUBSTITUTE(TRIM(_xlfn.FILTERXML("&lt;t&gt;&lt;s&gt;"&amp;SUBSTITUTE(C62,",","&lt;/s&gt;&lt;s&gt;")&amp;"&lt;/s&gt;&lt;/t&gt;","//s[contains(.,'CL.')]")),"-","_")</f>
        <v>MCT_800-5_CL.1_15VA</v>
      </c>
      <c r="C62" t="s">
        <v>44</v>
      </c>
      <c r="D62" s="2" t="s">
        <v>246</v>
      </c>
      <c r="E62" t="s">
        <v>17</v>
      </c>
      <c r="F62" t="s">
        <v>111</v>
      </c>
      <c r="G62" t="s">
        <v>381</v>
      </c>
      <c r="H62" s="6"/>
    </row>
    <row r="63" spans="2:8" x14ac:dyDescent="0.3">
      <c r="B63" t="str" cm="1">
        <f t="array" ref="B63">LEFT(C63,3) &amp; "_" &amp; SUBSTITUTE(TRIM(_xlfn.FILTERXML("&lt;t&gt;&lt;s&gt;"&amp;SUBSTITUTE(C63,",","&lt;/s&gt;&lt;s&gt;")&amp;"&lt;/s&gt;&lt;/t&gt;","//s[contains(.,'/')]")),"/","-") &amp; "_" &amp; SUBSTITUTE(TRIM(_xlfn.FILTERXML("&lt;t&gt;&lt;s&gt;"&amp;SUBSTITUTE(C63,",","&lt;/s&gt;&lt;s&gt;")&amp;"&lt;/s&gt;&lt;/t&gt;","//s[contains(.,'CL.')]")),"-","_")</f>
        <v>PCT_800-5_CL.5P10_15VA</v>
      </c>
      <c r="C63" t="s">
        <v>45</v>
      </c>
      <c r="D63" s="2" t="s">
        <v>246</v>
      </c>
      <c r="E63" t="s">
        <v>17</v>
      </c>
      <c r="F63" t="s">
        <v>111</v>
      </c>
      <c r="G63" t="s">
        <v>381</v>
      </c>
      <c r="H63" s="6"/>
    </row>
    <row r="64" spans="2:8" x14ac:dyDescent="0.3">
      <c r="B64" t="str" cm="1">
        <f t="array" ref="B64">LEFT(C64,3) &amp; "_" &amp; SUBSTITUTE(TRIM(_xlfn.FILTERXML("&lt;t&gt;&lt;s&gt;"&amp;SUBSTITUTE(C64,",","&lt;/s&gt;&lt;s&gt;")&amp;"&lt;/s&gt;&lt;/t&gt;","//s[contains(.,'/')]")),"/","-") &amp; "_" &amp; SUBSTITUTE(TRIM(_xlfn.FILTERXML("&lt;t&gt;&lt;s&gt;"&amp;SUBSTITUTE(C64,",","&lt;/s&gt;&lt;s&gt;")&amp;"&lt;/s&gt;&lt;/t&gt;","//s[contains(.,'CL.')]")),"-","_")</f>
        <v>MCT_1000-5_CL.1_15VA</v>
      </c>
      <c r="C64" t="s">
        <v>47</v>
      </c>
      <c r="D64" s="2" t="s">
        <v>246</v>
      </c>
      <c r="E64" t="s">
        <v>17</v>
      </c>
      <c r="F64" t="s">
        <v>111</v>
      </c>
      <c r="G64" t="s">
        <v>413</v>
      </c>
      <c r="H64" s="6"/>
    </row>
    <row r="65" spans="2:8" x14ac:dyDescent="0.3">
      <c r="B65" t="str" cm="1">
        <f t="array" ref="B65">LEFT(C65,3) &amp; "_" &amp; SUBSTITUTE(TRIM(_xlfn.FILTERXML("&lt;t&gt;&lt;s&gt;"&amp;SUBSTITUTE(C65,",","&lt;/s&gt;&lt;s&gt;")&amp;"&lt;/s&gt;&lt;/t&gt;","//s[contains(.,'/')]")),"/","-") &amp; "_" &amp; SUBSTITUTE(TRIM(_xlfn.FILTERXML("&lt;t&gt;&lt;s&gt;"&amp;SUBSTITUTE(C65,",","&lt;/s&gt;&lt;s&gt;")&amp;"&lt;/s&gt;&lt;/t&gt;","//s[contains(.,'CL.')]")),"-","_")</f>
        <v>PCT_1000-5_CL.5P10_15VA</v>
      </c>
      <c r="C65" t="s">
        <v>48</v>
      </c>
      <c r="D65" s="2" t="s">
        <v>246</v>
      </c>
      <c r="E65" t="s">
        <v>17</v>
      </c>
      <c r="F65" t="s">
        <v>111</v>
      </c>
      <c r="G65" t="s">
        <v>413</v>
      </c>
      <c r="H65" s="6"/>
    </row>
    <row r="66" spans="2:8" x14ac:dyDescent="0.3">
      <c r="B66" t="str" cm="1">
        <f t="array" ref="B66">LEFT(C66,3) &amp; "_" &amp; SUBSTITUTE(TRIM(_xlfn.FILTERXML("&lt;t&gt;&lt;s&gt;"&amp;SUBSTITUTE(C66,",","&lt;/s&gt;&lt;s&gt;")&amp;"&lt;/s&gt;&lt;/t&gt;","//s[contains(.,'/')]")),"/","-") &amp; "_" &amp; SUBSTITUTE(TRIM(_xlfn.FILTERXML("&lt;t&gt;&lt;s&gt;"&amp;SUBSTITUTE(C66,",","&lt;/s&gt;&lt;s&gt;")&amp;"&lt;/s&gt;&lt;/t&gt;","//s[contains(.,'CL.')]")),"-","_")</f>
        <v>PCT_1000-5_CL.5P10_15VA</v>
      </c>
      <c r="C66" t="s">
        <v>46</v>
      </c>
      <c r="D66" s="2" t="s">
        <v>246</v>
      </c>
      <c r="E66" t="s">
        <v>17</v>
      </c>
      <c r="F66" t="s">
        <v>111</v>
      </c>
      <c r="G66" t="s">
        <v>381</v>
      </c>
      <c r="H66" s="6"/>
    </row>
    <row r="67" spans="2:8" x14ac:dyDescent="0.3">
      <c r="B67" t="str" cm="1">
        <f t="array" ref="B67">LEFT(C67,3) &amp; "_" &amp; SUBSTITUTE(TRIM(_xlfn.FILTERXML("&lt;t&gt;&lt;s&gt;"&amp;SUBSTITUTE(C67,",","&lt;/s&gt;&lt;s&gt;")&amp;"&lt;/s&gt;&lt;/t&gt;","//s[contains(.,'/')]")),"/","-") &amp; "_" &amp; SUBSTITUTE(TRIM(_xlfn.FILTERXML("&lt;t&gt;&lt;s&gt;"&amp;SUBSTITUTE(C67,",","&lt;/s&gt;&lt;s&gt;")&amp;"&lt;/s&gt;&lt;/t&gt;","//s[contains(.,'CL.')]")),"-","_")</f>
        <v>MCT_1200-5_CL.1_15VA</v>
      </c>
      <c r="C67" t="s">
        <v>49</v>
      </c>
      <c r="D67" s="2" t="s">
        <v>246</v>
      </c>
      <c r="E67" t="s">
        <v>17</v>
      </c>
      <c r="F67" t="s">
        <v>111</v>
      </c>
      <c r="G67" t="s">
        <v>413</v>
      </c>
      <c r="H67" s="6"/>
    </row>
    <row r="68" spans="2:8" x14ac:dyDescent="0.3">
      <c r="B68" t="str" cm="1">
        <f t="array" ref="B68">LEFT(C68,3) &amp; "_" &amp; SUBSTITUTE(TRIM(_xlfn.FILTERXML("&lt;t&gt;&lt;s&gt;"&amp;SUBSTITUTE(C68,",","&lt;/s&gt;&lt;s&gt;")&amp;"&lt;/s&gt;&lt;/t&gt;","//s[contains(.,'/')]")),"/","-") &amp; "_" &amp; SUBSTITUTE(TRIM(_xlfn.FILTERXML("&lt;t&gt;&lt;s&gt;"&amp;SUBSTITUTE(C68,",","&lt;/s&gt;&lt;s&gt;")&amp;"&lt;/s&gt;&lt;/t&gt;","//s[contains(.,'CL.')]")),"-","_")</f>
        <v>PCT_1200-5_CL.5P10_15VA</v>
      </c>
      <c r="C68" t="s">
        <v>50</v>
      </c>
      <c r="D68" s="2" t="s">
        <v>246</v>
      </c>
      <c r="E68" t="s">
        <v>17</v>
      </c>
      <c r="F68" t="s">
        <v>111</v>
      </c>
      <c r="G68" t="s">
        <v>413</v>
      </c>
      <c r="H68" s="6"/>
    </row>
    <row r="69" spans="2:8" x14ac:dyDescent="0.3">
      <c r="B69" t="str" cm="1">
        <f t="array" ref="B69">LEFT(C69,3) &amp; "_" &amp; SUBSTITUTE(TRIM(_xlfn.FILTERXML("&lt;t&gt;&lt;s&gt;"&amp;SUBSTITUTE(C69,",","&lt;/s&gt;&lt;s&gt;")&amp;"&lt;/s&gt;&lt;/t&gt;","//s[contains(.,'/')]")),"/","-") &amp; "_" &amp; SUBSTITUTE(TRIM(_xlfn.FILTERXML("&lt;t&gt;&lt;s&gt;"&amp;SUBSTITUTE(C69,",","&lt;/s&gt;&lt;s&gt;")&amp;"&lt;/s&gt;&lt;/t&gt;","//s[contains(.,'CL.')]")),"-","_")</f>
        <v>MCT_1200-5_CL.1_15VA</v>
      </c>
      <c r="C69" t="s">
        <v>263</v>
      </c>
      <c r="D69" s="2"/>
      <c r="E69" t="s">
        <v>17</v>
      </c>
      <c r="F69" t="s">
        <v>111</v>
      </c>
      <c r="G69" t="s">
        <v>381</v>
      </c>
      <c r="H69" s="6"/>
    </row>
    <row r="70" spans="2:8" x14ac:dyDescent="0.3">
      <c r="B70" t="str" cm="1">
        <f t="array" ref="B70">LEFT(C70,3) &amp; "_" &amp; SUBSTITUTE(TRIM(_xlfn.FILTERXML("&lt;t&gt;&lt;s&gt;"&amp;SUBSTITUTE(C70,",","&lt;/s&gt;&lt;s&gt;")&amp;"&lt;/s&gt;&lt;/t&gt;","//s[contains(.,'/')]")),"/","-") &amp; "_" &amp; SUBSTITUTE(TRIM(_xlfn.FILTERXML("&lt;t&gt;&lt;s&gt;"&amp;SUBSTITUTE(C70,",","&lt;/s&gt;&lt;s&gt;")&amp;"&lt;/s&gt;&lt;/t&gt;","//s[contains(.,'CL.')]")),"-","_")</f>
        <v>PCT_1200-5_CL.5P10_15VA</v>
      </c>
      <c r="C70" t="s">
        <v>57</v>
      </c>
      <c r="D70" s="2" t="s">
        <v>246</v>
      </c>
      <c r="E70" t="s">
        <v>17</v>
      </c>
      <c r="F70" t="s">
        <v>111</v>
      </c>
      <c r="G70" t="s">
        <v>381</v>
      </c>
      <c r="H70" s="6"/>
    </row>
    <row r="71" spans="2:8" x14ac:dyDescent="0.3">
      <c r="B71" t="str" cm="1">
        <f t="array" ref="B71">LEFT(C71,3) &amp; "_" &amp; SUBSTITUTE(TRIM(_xlfn.FILTERXML("&lt;t&gt;&lt;s&gt;"&amp;SUBSTITUTE(C71,",","&lt;/s&gt;&lt;s&gt;")&amp;"&lt;/s&gt;&lt;/t&gt;","//s[contains(.,'/')]")),"/","-") &amp; "_" &amp; SUBSTITUTE(TRIM(_xlfn.FILTERXML("&lt;t&gt;&lt;s&gt;"&amp;SUBSTITUTE(C71,",","&lt;/s&gt;&lt;s&gt;")&amp;"&lt;/s&gt;&lt;/t&gt;","//s[contains(.,'CL.')]")),"-","_")</f>
        <v>MCT_1600-5_CL.1_15VA</v>
      </c>
      <c r="C71" t="s">
        <v>51</v>
      </c>
      <c r="D71" s="2" t="s">
        <v>246</v>
      </c>
      <c r="E71" t="s">
        <v>17</v>
      </c>
      <c r="F71" t="s">
        <v>111</v>
      </c>
      <c r="G71" t="s">
        <v>413</v>
      </c>
      <c r="H71" s="6"/>
    </row>
    <row r="72" spans="2:8" x14ac:dyDescent="0.3">
      <c r="B72" t="str" cm="1">
        <f t="array" ref="B72">LEFT(C72,3) &amp; "_" &amp; SUBSTITUTE(TRIM(_xlfn.FILTERXML("&lt;t&gt;&lt;s&gt;"&amp;SUBSTITUTE(C72,",","&lt;/s&gt;&lt;s&gt;")&amp;"&lt;/s&gt;&lt;/t&gt;","//s[contains(.,'/')]")),"/","-") &amp; "_" &amp; SUBSTITUTE(TRIM(_xlfn.FILTERXML("&lt;t&gt;&lt;s&gt;"&amp;SUBSTITUTE(C72,",","&lt;/s&gt;&lt;s&gt;")&amp;"&lt;/s&gt;&lt;/t&gt;","//s[contains(.,'CL.')]")),"-","_")</f>
        <v>PCT_1600-5_CL.5P10_15VA</v>
      </c>
      <c r="C72" t="s">
        <v>52</v>
      </c>
      <c r="D72" s="2" t="s">
        <v>246</v>
      </c>
      <c r="E72" t="s">
        <v>17</v>
      </c>
      <c r="F72" t="s">
        <v>111</v>
      </c>
      <c r="G72" t="s">
        <v>413</v>
      </c>
      <c r="H72" s="6"/>
    </row>
    <row r="73" spans="2:8" x14ac:dyDescent="0.3">
      <c r="B73" t="str" cm="1">
        <f t="array" ref="B73">LEFT(C73,3) &amp; "_" &amp; SUBSTITUTE(TRIM(_xlfn.FILTERXML("&lt;t&gt;&lt;s&gt;"&amp;SUBSTITUTE(C73,",","&lt;/s&gt;&lt;s&gt;")&amp;"&lt;/s&gt;&lt;/t&gt;","//s[contains(.,'/')]")),"/","-") &amp; "_" &amp; SUBSTITUTE(TRIM(_xlfn.FILTERXML("&lt;t&gt;&lt;s&gt;"&amp;SUBSTITUTE(C73,",","&lt;/s&gt;&lt;s&gt;")&amp;"&lt;/s&gt;&lt;/t&gt;","//s[contains(.,'CL.')]")),"-","_")</f>
        <v>PCT_1600-5_CL.5P10_15VA</v>
      </c>
      <c r="C73" t="s">
        <v>56</v>
      </c>
      <c r="D73" s="2" t="s">
        <v>246</v>
      </c>
      <c r="E73" t="s">
        <v>17</v>
      </c>
      <c r="F73" t="s">
        <v>111</v>
      </c>
      <c r="G73" t="s">
        <v>381</v>
      </c>
      <c r="H73" s="6"/>
    </row>
    <row r="74" spans="2:8" x14ac:dyDescent="0.3">
      <c r="B74" s="2" t="s">
        <v>305</v>
      </c>
      <c r="C74" t="s">
        <v>295</v>
      </c>
      <c r="D74" s="2" t="s">
        <v>305</v>
      </c>
      <c r="E74" t="s">
        <v>296</v>
      </c>
      <c r="F74" t="s">
        <v>111</v>
      </c>
      <c r="H74" s="6"/>
    </row>
    <row r="75" spans="2:8" x14ac:dyDescent="0.3">
      <c r="B75" s="2" t="s">
        <v>306</v>
      </c>
      <c r="C75" t="s">
        <v>297</v>
      </c>
      <c r="D75" s="2" t="s">
        <v>306</v>
      </c>
      <c r="E75" t="s">
        <v>296</v>
      </c>
      <c r="F75" t="s">
        <v>111</v>
      </c>
      <c r="H75" s="6"/>
    </row>
    <row r="76" spans="2:8" x14ac:dyDescent="0.3">
      <c r="B76" s="2" t="s">
        <v>316</v>
      </c>
      <c r="C76" t="s">
        <v>315</v>
      </c>
      <c r="D76" s="2" t="s">
        <v>316</v>
      </c>
      <c r="E76" t="s">
        <v>296</v>
      </c>
      <c r="F76" t="s">
        <v>111</v>
      </c>
      <c r="H76" s="5" t="s">
        <v>403</v>
      </c>
    </row>
    <row r="77" spans="2:8" x14ac:dyDescent="0.3">
      <c r="B77" s="2" t="s">
        <v>318</v>
      </c>
      <c r="C77" t="s">
        <v>317</v>
      </c>
      <c r="D77" s="2" t="s">
        <v>318</v>
      </c>
      <c r="E77" t="s">
        <v>296</v>
      </c>
      <c r="F77" t="s">
        <v>111</v>
      </c>
      <c r="H77" s="7"/>
    </row>
    <row r="78" spans="2:8" x14ac:dyDescent="0.3">
      <c r="B78" s="2" t="s">
        <v>345</v>
      </c>
      <c r="C78" t="s">
        <v>319</v>
      </c>
      <c r="D78" s="2" t="s">
        <v>345</v>
      </c>
      <c r="E78" t="s">
        <v>296</v>
      </c>
      <c r="F78" t="s">
        <v>111</v>
      </c>
      <c r="H78" s="7"/>
    </row>
    <row r="79" spans="2:8" x14ac:dyDescent="0.3">
      <c r="B79" s="2" t="s">
        <v>346</v>
      </c>
      <c r="C79" t="s">
        <v>320</v>
      </c>
      <c r="D79" s="2" t="s">
        <v>346</v>
      </c>
      <c r="E79" t="s">
        <v>296</v>
      </c>
      <c r="F79" t="s">
        <v>111</v>
      </c>
      <c r="H79" s="7"/>
    </row>
    <row r="80" spans="2:8" x14ac:dyDescent="0.3">
      <c r="B80" t="s">
        <v>367</v>
      </c>
      <c r="C80" t="s">
        <v>366</v>
      </c>
      <c r="D80" s="2" t="e">
        <f>IF(C80=#REF!,VLOOKUP(C80,#REF!,2,0),VLOOKUP(C80,#REF!,2,0))</f>
        <v>#REF!</v>
      </c>
      <c r="E80" t="s">
        <v>60</v>
      </c>
      <c r="F80" t="s">
        <v>133</v>
      </c>
      <c r="H80" t="s">
        <v>443</v>
      </c>
    </row>
    <row r="81" spans="2:8" x14ac:dyDescent="0.3">
      <c r="C81" t="e">
        <f>IF(C80=#REF!,#REF!,IF(C80=#REF!,#REF!,""))</f>
        <v>#REF!</v>
      </c>
      <c r="D81" s="2" t="e">
        <f>IF(C81=#REF!,VLOOKUP(C81,#REF!,2,0),VLOOKUP(C81,#REF!,2,0))</f>
        <v>#REF!</v>
      </c>
      <c r="E81" t="s">
        <v>60</v>
      </c>
      <c r="F81" t="s">
        <v>133</v>
      </c>
      <c r="H81" t="s">
        <v>411</v>
      </c>
    </row>
    <row r="82" spans="2:8" x14ac:dyDescent="0.3">
      <c r="C82" t="e">
        <f>IF(C81=#REF!,#REF!,IF(C81=#REF!,#REF!,""))</f>
        <v>#REF!</v>
      </c>
      <c r="D82" s="2" t="e">
        <f>IF(C82=#REF!,VLOOKUP(C82,#REF!,2,0),VLOOKUP(C82,#REF!,2,0))</f>
        <v>#REF!</v>
      </c>
      <c r="E82" t="s">
        <v>60</v>
      </c>
      <c r="F82" t="s">
        <v>133</v>
      </c>
      <c r="H82" t="s">
        <v>411</v>
      </c>
    </row>
    <row r="83" spans="2:8" x14ac:dyDescent="0.3">
      <c r="C83" t="e">
        <f>IF(C82=#REF!,#REF!,IF(C82=#REF!,#REF!,""))</f>
        <v>#REF!</v>
      </c>
      <c r="D83" s="2" t="e">
        <f>IF(C83=#REF!,VLOOKUP(C83,#REF!,2,0),VLOOKUP(C83,#REF!,2,0))</f>
        <v>#REF!</v>
      </c>
      <c r="E83" t="s">
        <v>60</v>
      </c>
      <c r="F83" t="s">
        <v>133</v>
      </c>
      <c r="H83" t="s">
        <v>411</v>
      </c>
    </row>
    <row r="84" spans="2:8" x14ac:dyDescent="0.3">
      <c r="C84" t="e">
        <f>IF(C83=#REF!,#REF!,IF(C83=#REF!,#REF!,""))</f>
        <v>#REF!</v>
      </c>
      <c r="D84" s="2" t="e">
        <f>IF(C84=#REF!,VLOOKUP(C84,#REF!,2,0),VLOOKUP(C84,#REF!,2,0))</f>
        <v>#REF!</v>
      </c>
      <c r="E84" t="s">
        <v>60</v>
      </c>
      <c r="F84" t="s">
        <v>133</v>
      </c>
      <c r="H84" t="s">
        <v>407</v>
      </c>
    </row>
    <row r="85" spans="2:8" x14ac:dyDescent="0.3">
      <c r="B85" t="s">
        <v>383</v>
      </c>
      <c r="C85" t="s">
        <v>61</v>
      </c>
      <c r="D85" s="2" t="s">
        <v>246</v>
      </c>
      <c r="E85" t="s">
        <v>60</v>
      </c>
      <c r="F85" t="s">
        <v>133</v>
      </c>
      <c r="H85" t="s">
        <v>443</v>
      </c>
    </row>
    <row r="86" spans="2:8" x14ac:dyDescent="0.3">
      <c r="C86" t="s">
        <v>62</v>
      </c>
      <c r="D86" s="2" t="s">
        <v>246</v>
      </c>
      <c r="E86" t="s">
        <v>60</v>
      </c>
      <c r="F86" t="s">
        <v>133</v>
      </c>
      <c r="H86" t="s">
        <v>411</v>
      </c>
    </row>
    <row r="87" spans="2:8" x14ac:dyDescent="0.3">
      <c r="C87" t="s">
        <v>63</v>
      </c>
      <c r="D87" s="2" t="s">
        <v>246</v>
      </c>
      <c r="E87" t="s">
        <v>60</v>
      </c>
      <c r="F87" t="s">
        <v>133</v>
      </c>
      <c r="H87" t="s">
        <v>411</v>
      </c>
    </row>
    <row r="88" spans="2:8" x14ac:dyDescent="0.3">
      <c r="C88" t="s">
        <v>64</v>
      </c>
      <c r="D88" s="2" t="s">
        <v>246</v>
      </c>
      <c r="E88" t="s">
        <v>60</v>
      </c>
      <c r="F88" t="s">
        <v>133</v>
      </c>
      <c r="H88" t="s">
        <v>411</v>
      </c>
    </row>
    <row r="89" spans="2:8" x14ac:dyDescent="0.3">
      <c r="C89" t="s">
        <v>65</v>
      </c>
      <c r="D89" s="2" t="s">
        <v>246</v>
      </c>
      <c r="E89" t="s">
        <v>60</v>
      </c>
      <c r="F89" t="s">
        <v>133</v>
      </c>
      <c r="H89" t="s">
        <v>407</v>
      </c>
    </row>
    <row r="90" spans="2:8" x14ac:dyDescent="0.3">
      <c r="B90" t="s">
        <v>384</v>
      </c>
      <c r="C90" t="s">
        <v>66</v>
      </c>
      <c r="D90" s="2" t="s">
        <v>361</v>
      </c>
      <c r="E90" t="s">
        <v>60</v>
      </c>
      <c r="F90" t="s">
        <v>133</v>
      </c>
      <c r="H90" t="s">
        <v>443</v>
      </c>
    </row>
    <row r="91" spans="2:8" x14ac:dyDescent="0.3">
      <c r="C91" t="s">
        <v>67</v>
      </c>
      <c r="D91" s="2" t="s">
        <v>341</v>
      </c>
      <c r="E91" t="s">
        <v>60</v>
      </c>
      <c r="F91" t="s">
        <v>133</v>
      </c>
      <c r="H91" t="s">
        <v>411</v>
      </c>
    </row>
    <row r="92" spans="2:8" x14ac:dyDescent="0.3">
      <c r="C92" t="s">
        <v>68</v>
      </c>
      <c r="D92" s="2" t="s">
        <v>342</v>
      </c>
      <c r="E92" t="s">
        <v>60</v>
      </c>
      <c r="F92" t="s">
        <v>133</v>
      </c>
      <c r="H92" t="s">
        <v>411</v>
      </c>
    </row>
    <row r="93" spans="2:8" x14ac:dyDescent="0.3">
      <c r="C93" t="s">
        <v>69</v>
      </c>
      <c r="D93" s="2" t="s">
        <v>343</v>
      </c>
      <c r="E93" t="s">
        <v>60</v>
      </c>
      <c r="F93" t="s">
        <v>133</v>
      </c>
      <c r="H93" t="s">
        <v>411</v>
      </c>
    </row>
    <row r="94" spans="2:8" x14ac:dyDescent="0.3">
      <c r="C94" t="s">
        <v>70</v>
      </c>
      <c r="D94" s="2" t="s">
        <v>246</v>
      </c>
      <c r="E94" t="s">
        <v>60</v>
      </c>
      <c r="F94" t="s">
        <v>133</v>
      </c>
      <c r="H94" t="s">
        <v>407</v>
      </c>
    </row>
    <row r="95" spans="2:8" x14ac:dyDescent="0.3">
      <c r="B95" t="s">
        <v>385</v>
      </c>
      <c r="C95" t="s">
        <v>76</v>
      </c>
      <c r="D95" s="2" t="s">
        <v>246</v>
      </c>
      <c r="E95" t="s">
        <v>60</v>
      </c>
      <c r="F95" t="s">
        <v>133</v>
      </c>
      <c r="H95" t="s">
        <v>443</v>
      </c>
    </row>
    <row r="96" spans="2:8" x14ac:dyDescent="0.3">
      <c r="C96" t="s">
        <v>77</v>
      </c>
      <c r="D96" s="2" t="s">
        <v>246</v>
      </c>
      <c r="E96" t="s">
        <v>60</v>
      </c>
      <c r="F96" t="s">
        <v>133</v>
      </c>
      <c r="H96" t="s">
        <v>411</v>
      </c>
    </row>
    <row r="97" spans="2:8" x14ac:dyDescent="0.3">
      <c r="C97" t="s">
        <v>78</v>
      </c>
      <c r="D97" s="2" t="s">
        <v>246</v>
      </c>
      <c r="E97" t="s">
        <v>60</v>
      </c>
      <c r="F97" t="s">
        <v>133</v>
      </c>
      <c r="H97" t="s">
        <v>411</v>
      </c>
    </row>
    <row r="98" spans="2:8" x14ac:dyDescent="0.3">
      <c r="C98" t="s">
        <v>79</v>
      </c>
      <c r="D98" s="2" t="s">
        <v>246</v>
      </c>
      <c r="E98" t="s">
        <v>60</v>
      </c>
      <c r="F98" t="s">
        <v>133</v>
      </c>
      <c r="H98" t="s">
        <v>411</v>
      </c>
    </row>
    <row r="99" spans="2:8" x14ac:dyDescent="0.3">
      <c r="C99" t="s">
        <v>80</v>
      </c>
      <c r="D99" s="2" t="s">
        <v>246</v>
      </c>
      <c r="E99" t="s">
        <v>60</v>
      </c>
      <c r="F99" t="s">
        <v>133</v>
      </c>
      <c r="H99" t="s">
        <v>407</v>
      </c>
    </row>
    <row r="100" spans="2:8" x14ac:dyDescent="0.3">
      <c r="B100" t="s">
        <v>388</v>
      </c>
      <c r="C100" t="s">
        <v>71</v>
      </c>
      <c r="D100" s="2" t="s">
        <v>246</v>
      </c>
      <c r="E100" t="s">
        <v>60</v>
      </c>
      <c r="F100" t="s">
        <v>133</v>
      </c>
      <c r="H100" t="s">
        <v>443</v>
      </c>
    </row>
    <row r="101" spans="2:8" x14ac:dyDescent="0.3">
      <c r="C101" t="s">
        <v>72</v>
      </c>
      <c r="D101" s="2" t="s">
        <v>246</v>
      </c>
      <c r="E101" t="s">
        <v>60</v>
      </c>
      <c r="F101" t="s">
        <v>133</v>
      </c>
      <c r="H101" t="s">
        <v>411</v>
      </c>
    </row>
    <row r="102" spans="2:8" x14ac:dyDescent="0.3">
      <c r="C102" t="s">
        <v>73</v>
      </c>
      <c r="D102" s="2" t="s">
        <v>246</v>
      </c>
      <c r="E102" t="s">
        <v>60</v>
      </c>
      <c r="F102" t="s">
        <v>133</v>
      </c>
      <c r="H102" t="s">
        <v>411</v>
      </c>
    </row>
    <row r="103" spans="2:8" x14ac:dyDescent="0.3">
      <c r="C103" t="s">
        <v>74</v>
      </c>
      <c r="D103" s="2" t="s">
        <v>246</v>
      </c>
      <c r="E103" t="s">
        <v>60</v>
      </c>
      <c r="F103" t="s">
        <v>133</v>
      </c>
      <c r="H103" t="s">
        <v>411</v>
      </c>
    </row>
    <row r="104" spans="2:8" x14ac:dyDescent="0.3">
      <c r="C104" t="s">
        <v>75</v>
      </c>
      <c r="D104" s="2" t="s">
        <v>246</v>
      </c>
      <c r="E104" t="s">
        <v>60</v>
      </c>
      <c r="F104" t="s">
        <v>133</v>
      </c>
      <c r="H104" t="s">
        <v>407</v>
      </c>
    </row>
    <row r="105" spans="2:8" x14ac:dyDescent="0.3">
      <c r="B105" t="s">
        <v>386</v>
      </c>
      <c r="C105" t="s">
        <v>81</v>
      </c>
      <c r="D105" s="2" t="s">
        <v>246</v>
      </c>
      <c r="E105" t="s">
        <v>60</v>
      </c>
      <c r="F105" t="s">
        <v>133</v>
      </c>
      <c r="H105" t="s">
        <v>443</v>
      </c>
    </row>
    <row r="106" spans="2:8" x14ac:dyDescent="0.3">
      <c r="C106" t="s">
        <v>82</v>
      </c>
      <c r="D106" s="2" t="s">
        <v>246</v>
      </c>
      <c r="E106" t="s">
        <v>60</v>
      </c>
      <c r="F106" t="s">
        <v>133</v>
      </c>
      <c r="H106" t="s">
        <v>411</v>
      </c>
    </row>
    <row r="107" spans="2:8" x14ac:dyDescent="0.3">
      <c r="C107" t="s">
        <v>83</v>
      </c>
      <c r="D107" s="2" t="s">
        <v>246</v>
      </c>
      <c r="E107" t="s">
        <v>60</v>
      </c>
      <c r="F107" t="s">
        <v>133</v>
      </c>
      <c r="H107" t="s">
        <v>411</v>
      </c>
    </row>
    <row r="108" spans="2:8" x14ac:dyDescent="0.3">
      <c r="C108" t="s">
        <v>84</v>
      </c>
      <c r="D108" s="2" t="s">
        <v>246</v>
      </c>
      <c r="E108" t="s">
        <v>60</v>
      </c>
      <c r="F108" t="s">
        <v>133</v>
      </c>
      <c r="H108" t="s">
        <v>411</v>
      </c>
    </row>
    <row r="109" spans="2:8" x14ac:dyDescent="0.3">
      <c r="C109" t="s">
        <v>85</v>
      </c>
      <c r="D109" s="2" t="s">
        <v>246</v>
      </c>
      <c r="E109" t="s">
        <v>60</v>
      </c>
      <c r="F109" t="s">
        <v>133</v>
      </c>
      <c r="H109" t="s">
        <v>407</v>
      </c>
    </row>
    <row r="110" spans="2:8" x14ac:dyDescent="0.3">
      <c r="B110" t="s">
        <v>387</v>
      </c>
      <c r="C110" t="s">
        <v>258</v>
      </c>
      <c r="D110" s="2" t="s">
        <v>246</v>
      </c>
      <c r="E110" t="s">
        <v>60</v>
      </c>
      <c r="F110" t="s">
        <v>133</v>
      </c>
      <c r="H110" t="s">
        <v>443</v>
      </c>
    </row>
    <row r="111" spans="2:8" x14ac:dyDescent="0.3">
      <c r="C111" t="s">
        <v>259</v>
      </c>
      <c r="D111" s="2" t="s">
        <v>246</v>
      </c>
      <c r="E111" t="s">
        <v>60</v>
      </c>
      <c r="F111" t="s">
        <v>133</v>
      </c>
      <c r="H111" t="s">
        <v>411</v>
      </c>
    </row>
    <row r="112" spans="2:8" x14ac:dyDescent="0.3">
      <c r="C112" t="s">
        <v>260</v>
      </c>
      <c r="D112" s="2" t="s">
        <v>246</v>
      </c>
      <c r="E112" t="s">
        <v>60</v>
      </c>
      <c r="F112" t="s">
        <v>133</v>
      </c>
      <c r="H112" t="s">
        <v>411</v>
      </c>
    </row>
    <row r="113" spans="2:8" x14ac:dyDescent="0.3">
      <c r="C113" t="s">
        <v>261</v>
      </c>
      <c r="D113" s="2" t="s">
        <v>246</v>
      </c>
      <c r="E113" t="s">
        <v>60</v>
      </c>
      <c r="F113" t="s">
        <v>133</v>
      </c>
      <c r="H113" t="s">
        <v>411</v>
      </c>
    </row>
    <row r="114" spans="2:8" x14ac:dyDescent="0.3">
      <c r="C114" t="s">
        <v>262</v>
      </c>
      <c r="D114" s="2" t="s">
        <v>246</v>
      </c>
      <c r="E114" t="s">
        <v>60</v>
      </c>
      <c r="F114" t="s">
        <v>133</v>
      </c>
      <c r="H114" t="s">
        <v>407</v>
      </c>
    </row>
    <row r="115" spans="2:8" x14ac:dyDescent="0.3">
      <c r="B115" t="s">
        <v>389</v>
      </c>
      <c r="C115" t="s">
        <v>90</v>
      </c>
      <c r="D115" s="2" t="s">
        <v>246</v>
      </c>
      <c r="E115" t="s">
        <v>60</v>
      </c>
      <c r="F115" t="s">
        <v>133</v>
      </c>
      <c r="H115" t="s">
        <v>443</v>
      </c>
    </row>
    <row r="116" spans="2:8" x14ac:dyDescent="0.3">
      <c r="C116" t="s">
        <v>91</v>
      </c>
      <c r="D116" s="2" t="s">
        <v>246</v>
      </c>
      <c r="E116" t="s">
        <v>60</v>
      </c>
      <c r="F116" t="s">
        <v>133</v>
      </c>
      <c r="H116" t="s">
        <v>411</v>
      </c>
    </row>
    <row r="117" spans="2:8" x14ac:dyDescent="0.3">
      <c r="C117" t="s">
        <v>92</v>
      </c>
      <c r="D117" s="2" t="s">
        <v>246</v>
      </c>
      <c r="E117" t="s">
        <v>60</v>
      </c>
      <c r="F117" t="s">
        <v>133</v>
      </c>
      <c r="H117" t="s">
        <v>411</v>
      </c>
    </row>
    <row r="118" spans="2:8" x14ac:dyDescent="0.3">
      <c r="C118" t="s">
        <v>93</v>
      </c>
      <c r="D118" s="2" t="s">
        <v>246</v>
      </c>
      <c r="E118" t="s">
        <v>60</v>
      </c>
      <c r="F118" t="s">
        <v>133</v>
      </c>
      <c r="H118" t="s">
        <v>411</v>
      </c>
    </row>
    <row r="119" spans="2:8" x14ac:dyDescent="0.3">
      <c r="C119" t="s">
        <v>94</v>
      </c>
      <c r="D119" s="2" t="s">
        <v>246</v>
      </c>
      <c r="E119" t="s">
        <v>60</v>
      </c>
      <c r="F119" t="s">
        <v>133</v>
      </c>
      <c r="H119" t="s">
        <v>407</v>
      </c>
    </row>
    <row r="120" spans="2:8" x14ac:dyDescent="0.3">
      <c r="B120" t="s">
        <v>390</v>
      </c>
      <c r="C120" t="s">
        <v>310</v>
      </c>
      <c r="D120" s="2" t="s">
        <v>246</v>
      </c>
      <c r="E120" t="s">
        <v>60</v>
      </c>
      <c r="F120" t="s">
        <v>133</v>
      </c>
      <c r="H120" t="s">
        <v>443</v>
      </c>
    </row>
    <row r="121" spans="2:8" x14ac:dyDescent="0.3">
      <c r="C121" t="s">
        <v>86</v>
      </c>
      <c r="D121" s="2" t="s">
        <v>246</v>
      </c>
      <c r="E121" t="s">
        <v>60</v>
      </c>
      <c r="F121" t="s">
        <v>133</v>
      </c>
      <c r="H121" t="s">
        <v>411</v>
      </c>
    </row>
    <row r="122" spans="2:8" x14ac:dyDescent="0.3">
      <c r="C122" t="s">
        <v>87</v>
      </c>
      <c r="D122" s="2" t="s">
        <v>246</v>
      </c>
      <c r="E122" t="s">
        <v>60</v>
      </c>
      <c r="F122" t="s">
        <v>133</v>
      </c>
      <c r="H122" t="s">
        <v>411</v>
      </c>
    </row>
    <row r="123" spans="2:8" x14ac:dyDescent="0.3">
      <c r="C123" t="s">
        <v>88</v>
      </c>
      <c r="D123" s="2" t="s">
        <v>246</v>
      </c>
      <c r="E123" t="s">
        <v>60</v>
      </c>
      <c r="F123" t="s">
        <v>133</v>
      </c>
      <c r="H123" t="s">
        <v>411</v>
      </c>
    </row>
    <row r="124" spans="2:8" x14ac:dyDescent="0.3">
      <c r="C124" t="s">
        <v>89</v>
      </c>
      <c r="D124" s="2" t="s">
        <v>246</v>
      </c>
      <c r="E124" t="s">
        <v>60</v>
      </c>
      <c r="F124" t="s">
        <v>133</v>
      </c>
      <c r="H124" t="s">
        <v>407</v>
      </c>
    </row>
    <row r="125" spans="2:8" x14ac:dyDescent="0.3">
      <c r="B125" t="s">
        <v>391</v>
      </c>
      <c r="C125" t="s">
        <v>98</v>
      </c>
      <c r="D125" s="2" t="s">
        <v>246</v>
      </c>
      <c r="E125" t="s">
        <v>60</v>
      </c>
      <c r="F125" t="s">
        <v>133</v>
      </c>
      <c r="H125" t="s">
        <v>443</v>
      </c>
    </row>
    <row r="126" spans="2:8" x14ac:dyDescent="0.3">
      <c r="C126" t="s">
        <v>99</v>
      </c>
      <c r="D126" s="2" t="s">
        <v>246</v>
      </c>
      <c r="E126" t="s">
        <v>60</v>
      </c>
      <c r="F126" t="s">
        <v>133</v>
      </c>
      <c r="H126" t="s">
        <v>411</v>
      </c>
    </row>
    <row r="127" spans="2:8" x14ac:dyDescent="0.3">
      <c r="C127" t="s">
        <v>100</v>
      </c>
      <c r="D127" s="2" t="s">
        <v>246</v>
      </c>
      <c r="E127" t="s">
        <v>60</v>
      </c>
      <c r="F127" t="s">
        <v>133</v>
      </c>
      <c r="H127" t="s">
        <v>411</v>
      </c>
    </row>
    <row r="128" spans="2:8" x14ac:dyDescent="0.3">
      <c r="C128" t="s">
        <v>101</v>
      </c>
      <c r="D128" s="2" t="s">
        <v>246</v>
      </c>
      <c r="E128" t="s">
        <v>60</v>
      </c>
      <c r="F128" t="s">
        <v>133</v>
      </c>
      <c r="H128" t="s">
        <v>411</v>
      </c>
    </row>
    <row r="129" spans="2:8" x14ac:dyDescent="0.3">
      <c r="C129" t="s">
        <v>102</v>
      </c>
      <c r="D129" s="2" t="s">
        <v>246</v>
      </c>
      <c r="E129" t="s">
        <v>60</v>
      </c>
      <c r="F129" t="s">
        <v>133</v>
      </c>
      <c r="H129" t="s">
        <v>407</v>
      </c>
    </row>
    <row r="130" spans="2:8" x14ac:dyDescent="0.3">
      <c r="B130" t="s">
        <v>392</v>
      </c>
      <c r="C130" t="s">
        <v>103</v>
      </c>
      <c r="D130" s="2" t="s">
        <v>246</v>
      </c>
      <c r="E130" t="s">
        <v>60</v>
      </c>
      <c r="F130" t="s">
        <v>133</v>
      </c>
      <c r="H130" t="s">
        <v>443</v>
      </c>
    </row>
    <row r="131" spans="2:8" x14ac:dyDescent="0.3">
      <c r="C131" t="s">
        <v>104</v>
      </c>
      <c r="D131" s="2" t="s">
        <v>246</v>
      </c>
      <c r="E131" t="s">
        <v>60</v>
      </c>
      <c r="F131" t="s">
        <v>133</v>
      </c>
      <c r="H131" t="s">
        <v>411</v>
      </c>
    </row>
    <row r="132" spans="2:8" x14ac:dyDescent="0.3">
      <c r="C132" t="s">
        <v>105</v>
      </c>
      <c r="D132" s="2" t="s">
        <v>246</v>
      </c>
      <c r="E132" t="s">
        <v>60</v>
      </c>
      <c r="F132" t="s">
        <v>133</v>
      </c>
      <c r="H132" t="s">
        <v>411</v>
      </c>
    </row>
    <row r="133" spans="2:8" x14ac:dyDescent="0.3">
      <c r="C133" t="s">
        <v>106</v>
      </c>
      <c r="D133" s="2" t="s">
        <v>246</v>
      </c>
      <c r="E133" t="s">
        <v>60</v>
      </c>
      <c r="F133" t="s">
        <v>133</v>
      </c>
      <c r="H133" t="s">
        <v>411</v>
      </c>
    </row>
    <row r="134" spans="2:8" x14ac:dyDescent="0.3">
      <c r="C134" t="s">
        <v>107</v>
      </c>
      <c r="D134" s="2" t="s">
        <v>246</v>
      </c>
      <c r="E134" t="s">
        <v>60</v>
      </c>
      <c r="F134" t="s">
        <v>133</v>
      </c>
      <c r="H134" t="s">
        <v>407</v>
      </c>
    </row>
    <row r="135" spans="2:8" x14ac:dyDescent="0.3">
      <c r="B135" t="s">
        <v>299</v>
      </c>
      <c r="C135" t="s">
        <v>298</v>
      </c>
      <c r="D135" t="s">
        <v>299</v>
      </c>
      <c r="E135" t="s">
        <v>59</v>
      </c>
      <c r="F135" t="s">
        <v>10</v>
      </c>
      <c r="H135" t="s">
        <v>405</v>
      </c>
    </row>
    <row r="136" spans="2:8" ht="21" customHeight="1" x14ac:dyDescent="0.3">
      <c r="B136" t="s">
        <v>267</v>
      </c>
      <c r="C136" t="s">
        <v>248</v>
      </c>
      <c r="D136" t="s">
        <v>267</v>
      </c>
      <c r="E136" t="s">
        <v>273</v>
      </c>
      <c r="F136" t="s">
        <v>253</v>
      </c>
      <c r="H136" s="6" t="s">
        <v>406</v>
      </c>
    </row>
    <row r="137" spans="2:8" ht="21" customHeight="1" x14ac:dyDescent="0.3">
      <c r="B137" t="s">
        <v>247</v>
      </c>
      <c r="C137" t="s">
        <v>266</v>
      </c>
      <c r="D137" t="s">
        <v>247</v>
      </c>
      <c r="E137" t="s">
        <v>273</v>
      </c>
      <c r="F137" t="s">
        <v>253</v>
      </c>
      <c r="H137" s="6"/>
    </row>
    <row r="138" spans="2:8" ht="21" customHeight="1" x14ac:dyDescent="0.3">
      <c r="B138" t="s">
        <v>250</v>
      </c>
      <c r="C138" t="s">
        <v>249</v>
      </c>
      <c r="D138" t="s">
        <v>250</v>
      </c>
      <c r="E138" t="s">
        <v>273</v>
      </c>
      <c r="F138" t="s">
        <v>253</v>
      </c>
      <c r="H138" s="6"/>
    </row>
    <row r="139" spans="2:8" ht="21" customHeight="1" x14ac:dyDescent="0.3">
      <c r="B139" t="s">
        <v>301</v>
      </c>
      <c r="C139" t="s">
        <v>300</v>
      </c>
      <c r="D139" t="s">
        <v>301</v>
      </c>
      <c r="E139" t="s">
        <v>59</v>
      </c>
      <c r="F139" t="s">
        <v>253</v>
      </c>
      <c r="H139" s="6"/>
    </row>
    <row r="140" spans="2:8" x14ac:dyDescent="0.3">
      <c r="B140" t="s">
        <v>365</v>
      </c>
      <c r="C140" t="s">
        <v>96</v>
      </c>
      <c r="D140" t="s">
        <v>365</v>
      </c>
      <c r="E140" t="s">
        <v>95</v>
      </c>
      <c r="F140" t="s">
        <v>111</v>
      </c>
      <c r="H140" t="s">
        <v>394</v>
      </c>
    </row>
    <row r="141" spans="2:8" x14ac:dyDescent="0.3">
      <c r="B141" t="s">
        <v>364</v>
      </c>
      <c r="C141" t="s">
        <v>97</v>
      </c>
      <c r="D141" t="s">
        <v>364</v>
      </c>
      <c r="E141" t="s">
        <v>95</v>
      </c>
      <c r="F141" t="s">
        <v>111</v>
      </c>
      <c r="H141" t="s">
        <v>395</v>
      </c>
    </row>
    <row r="142" spans="2:8" x14ac:dyDescent="0.3">
      <c r="C142" t="s">
        <v>123</v>
      </c>
      <c r="D142" t="s">
        <v>124</v>
      </c>
      <c r="E142" t="s">
        <v>110</v>
      </c>
      <c r="F142" t="s">
        <v>111</v>
      </c>
      <c r="H142" t="s">
        <v>396</v>
      </c>
    </row>
    <row r="143" spans="2:8" x14ac:dyDescent="0.3">
      <c r="C143" t="s">
        <v>108</v>
      </c>
      <c r="D143" t="s">
        <v>109</v>
      </c>
      <c r="E143" t="s">
        <v>110</v>
      </c>
      <c r="F143" t="s">
        <v>111</v>
      </c>
      <c r="H143" t="s">
        <v>397</v>
      </c>
    </row>
    <row r="144" spans="2:8" x14ac:dyDescent="0.3">
      <c r="C144" t="s">
        <v>112</v>
      </c>
      <c r="D144" t="s">
        <v>113</v>
      </c>
      <c r="E144" t="s">
        <v>114</v>
      </c>
      <c r="F144" t="s">
        <v>115</v>
      </c>
      <c r="H144" t="s">
        <v>398</v>
      </c>
    </row>
    <row r="145" spans="2:8" x14ac:dyDescent="0.3">
      <c r="C145" t="s">
        <v>116</v>
      </c>
      <c r="D145" t="s">
        <v>117</v>
      </c>
      <c r="E145" t="s">
        <v>118</v>
      </c>
      <c r="F145" t="s">
        <v>115</v>
      </c>
      <c r="H145" t="s">
        <v>398</v>
      </c>
    </row>
    <row r="146" spans="2:8" x14ac:dyDescent="0.3">
      <c r="B146" t="s">
        <v>399</v>
      </c>
      <c r="C146" t="s">
        <v>125</v>
      </c>
      <c r="D146" t="s">
        <v>119</v>
      </c>
      <c r="E146" t="s">
        <v>120</v>
      </c>
      <c r="F146" t="s">
        <v>10</v>
      </c>
      <c r="H146" s="5" t="s">
        <v>401</v>
      </c>
    </row>
    <row r="147" spans="2:8" ht="31.5" customHeight="1" x14ac:dyDescent="0.3">
      <c r="B147" t="s">
        <v>400</v>
      </c>
      <c r="C147" t="s">
        <v>126</v>
      </c>
      <c r="D147" t="s">
        <v>119</v>
      </c>
      <c r="E147" t="s">
        <v>120</v>
      </c>
      <c r="F147" t="s">
        <v>111</v>
      </c>
      <c r="H147" s="5"/>
    </row>
    <row r="148" spans="2:8" x14ac:dyDescent="0.3">
      <c r="C148" t="s">
        <v>121</v>
      </c>
      <c r="D148" t="s">
        <v>362</v>
      </c>
      <c r="E148" t="s">
        <v>122</v>
      </c>
      <c r="F148" t="s">
        <v>10</v>
      </c>
      <c r="H148" t="s">
        <v>407</v>
      </c>
    </row>
    <row r="149" spans="2:8" x14ac:dyDescent="0.3">
      <c r="C149" t="s">
        <v>127</v>
      </c>
      <c r="D149" t="s">
        <v>337</v>
      </c>
      <c r="E149" t="s">
        <v>128</v>
      </c>
      <c r="F149" t="s">
        <v>133</v>
      </c>
      <c r="H149" t="s">
        <v>407</v>
      </c>
    </row>
    <row r="150" spans="2:8" x14ac:dyDescent="0.3">
      <c r="C150" t="s">
        <v>129</v>
      </c>
      <c r="D150" t="s">
        <v>338</v>
      </c>
      <c r="E150" t="s">
        <v>128</v>
      </c>
      <c r="F150" t="s">
        <v>133</v>
      </c>
      <c r="H150" t="s">
        <v>407</v>
      </c>
    </row>
    <row r="151" spans="2:8" x14ac:dyDescent="0.3">
      <c r="C151" t="s">
        <v>130</v>
      </c>
      <c r="D151" t="s">
        <v>339</v>
      </c>
      <c r="E151" t="s">
        <v>128</v>
      </c>
      <c r="F151" t="s">
        <v>133</v>
      </c>
      <c r="H151" t="s">
        <v>407</v>
      </c>
    </row>
    <row r="152" spans="2:8" x14ac:dyDescent="0.3">
      <c r="C152" t="s">
        <v>131</v>
      </c>
      <c r="D152" t="s">
        <v>340</v>
      </c>
      <c r="E152" t="s">
        <v>128</v>
      </c>
      <c r="F152" t="s">
        <v>133</v>
      </c>
      <c r="H152" t="s">
        <v>407</v>
      </c>
    </row>
    <row r="153" spans="2:8" x14ac:dyDescent="0.3">
      <c r="C153" t="s">
        <v>132</v>
      </c>
      <c r="D153" t="s">
        <v>322</v>
      </c>
      <c r="E153" t="s">
        <v>128</v>
      </c>
      <c r="F153" t="s">
        <v>133</v>
      </c>
      <c r="H153" t="s">
        <v>407</v>
      </c>
    </row>
    <row r="154" spans="2:8" x14ac:dyDescent="0.3">
      <c r="C154" t="s">
        <v>134</v>
      </c>
      <c r="D154" t="s">
        <v>321</v>
      </c>
      <c r="E154" t="s">
        <v>128</v>
      </c>
      <c r="F154" t="s">
        <v>133</v>
      </c>
      <c r="H154" t="s">
        <v>407</v>
      </c>
    </row>
    <row r="155" spans="2:8" x14ac:dyDescent="0.3">
      <c r="C155" t="s">
        <v>135</v>
      </c>
      <c r="D155" t="s">
        <v>136</v>
      </c>
      <c r="E155" t="s">
        <v>128</v>
      </c>
      <c r="F155" t="s">
        <v>133</v>
      </c>
      <c r="H155" t="s">
        <v>407</v>
      </c>
    </row>
    <row r="156" spans="2:8" x14ac:dyDescent="0.3">
      <c r="C156" t="s">
        <v>140</v>
      </c>
      <c r="D156" t="s">
        <v>141</v>
      </c>
      <c r="E156" t="s">
        <v>142</v>
      </c>
      <c r="F156" t="s">
        <v>133</v>
      </c>
      <c r="H156" t="s">
        <v>402</v>
      </c>
    </row>
    <row r="157" spans="2:8" x14ac:dyDescent="0.3">
      <c r="C157" t="s">
        <v>143</v>
      </c>
      <c r="D157" t="s">
        <v>144</v>
      </c>
      <c r="E157" t="s">
        <v>145</v>
      </c>
      <c r="F157" t="s">
        <v>139</v>
      </c>
      <c r="H157" t="s">
        <v>402</v>
      </c>
    </row>
    <row r="158" spans="2:8" x14ac:dyDescent="0.3">
      <c r="C158" t="s">
        <v>137</v>
      </c>
      <c r="D158" t="s">
        <v>138</v>
      </c>
      <c r="E158" t="s">
        <v>272</v>
      </c>
      <c r="F158" t="s">
        <v>139</v>
      </c>
      <c r="H158" t="s">
        <v>407</v>
      </c>
    </row>
    <row r="159" spans="2:8" x14ac:dyDescent="0.3">
      <c r="C159" t="s">
        <v>146</v>
      </c>
      <c r="D159" t="s">
        <v>360</v>
      </c>
      <c r="E159" t="s">
        <v>272</v>
      </c>
      <c r="F159" t="s">
        <v>139</v>
      </c>
      <c r="H159" t="s">
        <v>407</v>
      </c>
    </row>
    <row r="160" spans="2:8" x14ac:dyDescent="0.3">
      <c r="C160" t="s">
        <v>147</v>
      </c>
      <c r="D160" t="s">
        <v>148</v>
      </c>
      <c r="E160" t="s">
        <v>272</v>
      </c>
      <c r="F160" t="s">
        <v>139</v>
      </c>
      <c r="H160" t="s">
        <v>407</v>
      </c>
    </row>
    <row r="161" spans="3:8" x14ac:dyDescent="0.3">
      <c r="C161" t="s">
        <v>149</v>
      </c>
      <c r="D161" t="s">
        <v>150</v>
      </c>
      <c r="E161" t="s">
        <v>272</v>
      </c>
      <c r="F161" t="s">
        <v>139</v>
      </c>
      <c r="H161" t="s">
        <v>407</v>
      </c>
    </row>
    <row r="162" spans="3:8" x14ac:dyDescent="0.3">
      <c r="C162" t="s">
        <v>254</v>
      </c>
      <c r="D162">
        <v>500604</v>
      </c>
      <c r="E162" t="s">
        <v>151</v>
      </c>
      <c r="F162" t="s">
        <v>152</v>
      </c>
      <c r="H162" t="s">
        <v>407</v>
      </c>
    </row>
    <row r="163" spans="3:8" x14ac:dyDescent="0.3">
      <c r="C163" t="s">
        <v>251</v>
      </c>
      <c r="D163">
        <v>510500</v>
      </c>
      <c r="E163" t="s">
        <v>151</v>
      </c>
      <c r="F163" t="s">
        <v>152</v>
      </c>
      <c r="H163" t="s">
        <v>407</v>
      </c>
    </row>
    <row r="164" spans="3:8" x14ac:dyDescent="0.3">
      <c r="C164" t="s">
        <v>288</v>
      </c>
      <c r="D164" t="s">
        <v>289</v>
      </c>
      <c r="E164" t="s">
        <v>151</v>
      </c>
      <c r="F164" t="s">
        <v>133</v>
      </c>
      <c r="H164" t="s">
        <v>408</v>
      </c>
    </row>
    <row r="165" spans="3:8" x14ac:dyDescent="0.3">
      <c r="C165" t="s">
        <v>287</v>
      </c>
      <c r="D165" t="s">
        <v>290</v>
      </c>
      <c r="E165" t="s">
        <v>151</v>
      </c>
      <c r="F165" t="s">
        <v>133</v>
      </c>
      <c r="H165" t="s">
        <v>409</v>
      </c>
    </row>
    <row r="166" spans="3:8" x14ac:dyDescent="0.3">
      <c r="C166" t="s">
        <v>153</v>
      </c>
      <c r="D166" t="s">
        <v>359</v>
      </c>
      <c r="E166" t="s">
        <v>95</v>
      </c>
      <c r="F166" t="s">
        <v>154</v>
      </c>
      <c r="H166" t="s">
        <v>410</v>
      </c>
    </row>
    <row r="167" spans="3:8" x14ac:dyDescent="0.3">
      <c r="C167" t="s">
        <v>155</v>
      </c>
      <c r="D167" t="s">
        <v>347</v>
      </c>
      <c r="E167" t="s">
        <v>95</v>
      </c>
      <c r="F167" t="s">
        <v>156</v>
      </c>
      <c r="H167" t="s">
        <v>407</v>
      </c>
    </row>
    <row r="168" spans="3:8" x14ac:dyDescent="0.3">
      <c r="C168" t="s">
        <v>281</v>
      </c>
      <c r="D168" t="s">
        <v>348</v>
      </c>
      <c r="E168" t="s">
        <v>95</v>
      </c>
      <c r="F168" t="s">
        <v>156</v>
      </c>
      <c r="H168" t="s">
        <v>407</v>
      </c>
    </row>
    <row r="169" spans="3:8" x14ac:dyDescent="0.3">
      <c r="C169" t="s">
        <v>307</v>
      </c>
      <c r="D169" t="s">
        <v>349</v>
      </c>
      <c r="E169" t="s">
        <v>157</v>
      </c>
      <c r="F169" t="s">
        <v>158</v>
      </c>
      <c r="H169" t="s">
        <v>407</v>
      </c>
    </row>
    <row r="170" spans="3:8" x14ac:dyDescent="0.3">
      <c r="C170" t="s">
        <v>159</v>
      </c>
      <c r="D170" t="s">
        <v>350</v>
      </c>
      <c r="E170" t="s">
        <v>95</v>
      </c>
      <c r="F170" t="s">
        <v>160</v>
      </c>
      <c r="H170" t="s">
        <v>408</v>
      </c>
    </row>
    <row r="171" spans="3:8" x14ac:dyDescent="0.3">
      <c r="C171" t="s">
        <v>161</v>
      </c>
      <c r="D171" t="s">
        <v>351</v>
      </c>
      <c r="E171" t="s">
        <v>95</v>
      </c>
      <c r="F171" t="s">
        <v>160</v>
      </c>
      <c r="H171" t="s">
        <v>408</v>
      </c>
    </row>
    <row r="172" spans="3:8" x14ac:dyDescent="0.3">
      <c r="C172" t="s">
        <v>162</v>
      </c>
      <c r="E172" t="s">
        <v>95</v>
      </c>
      <c r="F172" t="s">
        <v>160</v>
      </c>
      <c r="H172" t="s">
        <v>408</v>
      </c>
    </row>
    <row r="173" spans="3:8" x14ac:dyDescent="0.3">
      <c r="C173" t="s">
        <v>163</v>
      </c>
      <c r="D173" t="s">
        <v>352</v>
      </c>
      <c r="E173" t="s">
        <v>95</v>
      </c>
      <c r="F173" t="s">
        <v>160</v>
      </c>
      <c r="H173" t="s">
        <v>408</v>
      </c>
    </row>
    <row r="174" spans="3:8" x14ac:dyDescent="0.3">
      <c r="C174" t="s">
        <v>164</v>
      </c>
      <c r="E174" t="s">
        <v>95</v>
      </c>
      <c r="F174" t="s">
        <v>160</v>
      </c>
      <c r="H174" t="s">
        <v>408</v>
      </c>
    </row>
    <row r="175" spans="3:8" x14ac:dyDescent="0.3">
      <c r="C175" t="s">
        <v>165</v>
      </c>
      <c r="E175" t="s">
        <v>95</v>
      </c>
      <c r="F175" t="s">
        <v>160</v>
      </c>
      <c r="H175" t="s">
        <v>408</v>
      </c>
    </row>
    <row r="176" spans="3:8" x14ac:dyDescent="0.3">
      <c r="C176" t="s">
        <v>166</v>
      </c>
      <c r="E176" t="s">
        <v>95</v>
      </c>
      <c r="F176" t="s">
        <v>160</v>
      </c>
      <c r="H176" t="s">
        <v>408</v>
      </c>
    </row>
    <row r="177" spans="3:10" x14ac:dyDescent="0.3">
      <c r="C177" t="s">
        <v>167</v>
      </c>
      <c r="E177" t="s">
        <v>95</v>
      </c>
      <c r="F177" t="s">
        <v>160</v>
      </c>
      <c r="H177" t="s">
        <v>408</v>
      </c>
    </row>
    <row r="178" spans="3:10" x14ac:dyDescent="0.3">
      <c r="C178" t="s">
        <v>168</v>
      </c>
      <c r="D178" t="s">
        <v>355</v>
      </c>
      <c r="E178" t="s">
        <v>95</v>
      </c>
      <c r="F178" t="s">
        <v>169</v>
      </c>
      <c r="H178" t="s">
        <v>407</v>
      </c>
    </row>
    <row r="179" spans="3:10" x14ac:dyDescent="0.3">
      <c r="C179" t="s">
        <v>170</v>
      </c>
      <c r="D179" t="s">
        <v>356</v>
      </c>
      <c r="E179" t="s">
        <v>95</v>
      </c>
      <c r="F179" t="s">
        <v>169</v>
      </c>
      <c r="H179" t="s">
        <v>407</v>
      </c>
      <c r="I179" t="s">
        <v>270</v>
      </c>
      <c r="J179" t="s">
        <v>271</v>
      </c>
    </row>
    <row r="180" spans="3:10" x14ac:dyDescent="0.3">
      <c r="C180" t="s">
        <v>308</v>
      </c>
      <c r="D180" t="s">
        <v>171</v>
      </c>
      <c r="E180" t="s">
        <v>172</v>
      </c>
      <c r="F180" t="s">
        <v>173</v>
      </c>
      <c r="G180" t="s">
        <v>268</v>
      </c>
      <c r="H180" t="s">
        <v>411</v>
      </c>
    </row>
    <row r="181" spans="3:10" x14ac:dyDescent="0.3">
      <c r="C181" t="s">
        <v>174</v>
      </c>
      <c r="D181" t="s">
        <v>175</v>
      </c>
      <c r="E181" t="s">
        <v>172</v>
      </c>
      <c r="F181" t="s">
        <v>173</v>
      </c>
      <c r="G181" t="s">
        <v>269</v>
      </c>
      <c r="H181" t="s">
        <v>411</v>
      </c>
    </row>
    <row r="182" spans="3:10" x14ac:dyDescent="0.3">
      <c r="C182" t="s">
        <v>276</v>
      </c>
      <c r="D182" t="s">
        <v>176</v>
      </c>
      <c r="E182" t="s">
        <v>95</v>
      </c>
      <c r="F182" t="s">
        <v>173</v>
      </c>
      <c r="G182" t="s">
        <v>245</v>
      </c>
      <c r="H182" t="s">
        <v>407</v>
      </c>
    </row>
    <row r="183" spans="3:10" x14ac:dyDescent="0.3">
      <c r="C183" t="s">
        <v>177</v>
      </c>
      <c r="D183" t="s">
        <v>329</v>
      </c>
      <c r="E183" t="s">
        <v>178</v>
      </c>
      <c r="F183" t="s">
        <v>179</v>
      </c>
      <c r="H183" t="s">
        <v>407</v>
      </c>
    </row>
    <row r="184" spans="3:10" x14ac:dyDescent="0.3">
      <c r="C184" t="s">
        <v>180</v>
      </c>
      <c r="D184" t="s">
        <v>330</v>
      </c>
      <c r="E184" t="s">
        <v>178</v>
      </c>
      <c r="F184" t="s">
        <v>179</v>
      </c>
      <c r="H184" t="s">
        <v>407</v>
      </c>
    </row>
    <row r="185" spans="3:10" x14ac:dyDescent="0.3">
      <c r="C185" t="s">
        <v>181</v>
      </c>
      <c r="D185" t="s">
        <v>331</v>
      </c>
      <c r="E185" t="s">
        <v>178</v>
      </c>
      <c r="F185" t="s">
        <v>179</v>
      </c>
      <c r="H185" t="s">
        <v>407</v>
      </c>
    </row>
    <row r="186" spans="3:10" ht="15" x14ac:dyDescent="0.3">
      <c r="C186" s="3" t="s">
        <v>311</v>
      </c>
      <c r="D186" t="s">
        <v>324</v>
      </c>
      <c r="E186" t="s">
        <v>95</v>
      </c>
      <c r="F186" t="s">
        <v>173</v>
      </c>
      <c r="H186" t="s">
        <v>407</v>
      </c>
    </row>
    <row r="187" spans="3:10" x14ac:dyDescent="0.3">
      <c r="C187" t="s">
        <v>182</v>
      </c>
      <c r="D187" t="s">
        <v>325</v>
      </c>
      <c r="E187" t="s">
        <v>95</v>
      </c>
      <c r="F187" t="s">
        <v>152</v>
      </c>
      <c r="H187" t="s">
        <v>407</v>
      </c>
    </row>
    <row r="188" spans="3:10" x14ac:dyDescent="0.3">
      <c r="C188" t="s">
        <v>312</v>
      </c>
      <c r="D188" t="s">
        <v>323</v>
      </c>
      <c r="E188" t="s">
        <v>95</v>
      </c>
      <c r="F188" t="s">
        <v>158</v>
      </c>
      <c r="H188" t="s">
        <v>407</v>
      </c>
    </row>
    <row r="189" spans="3:10" x14ac:dyDescent="0.3">
      <c r="C189" t="s">
        <v>183</v>
      </c>
      <c r="D189" t="s">
        <v>326</v>
      </c>
      <c r="E189" t="s">
        <v>95</v>
      </c>
      <c r="F189" t="s">
        <v>184</v>
      </c>
      <c r="H189" t="s">
        <v>407</v>
      </c>
    </row>
    <row r="190" spans="3:10" x14ac:dyDescent="0.3">
      <c r="C190" t="s">
        <v>185</v>
      </c>
      <c r="D190" t="s">
        <v>327</v>
      </c>
      <c r="E190" t="s">
        <v>95</v>
      </c>
      <c r="F190" t="s">
        <v>152</v>
      </c>
      <c r="H190" t="s">
        <v>407</v>
      </c>
    </row>
    <row r="191" spans="3:10" x14ac:dyDescent="0.3">
      <c r="C191" t="s">
        <v>186</v>
      </c>
      <c r="D191" t="s">
        <v>328</v>
      </c>
      <c r="E191" t="s">
        <v>95</v>
      </c>
      <c r="F191" t="s">
        <v>152</v>
      </c>
      <c r="H191" t="s">
        <v>407</v>
      </c>
    </row>
    <row r="192" spans="3:10" x14ac:dyDescent="0.3">
      <c r="C192" t="s">
        <v>187</v>
      </c>
      <c r="D192" t="s">
        <v>188</v>
      </c>
      <c r="E192" t="s">
        <v>118</v>
      </c>
      <c r="F192" t="s">
        <v>139</v>
      </c>
      <c r="H192" t="s">
        <v>408</v>
      </c>
    </row>
    <row r="193" spans="3:8" x14ac:dyDescent="0.3">
      <c r="C193" t="s">
        <v>313</v>
      </c>
      <c r="D193" t="s">
        <v>332</v>
      </c>
      <c r="E193" t="s">
        <v>95</v>
      </c>
      <c r="F193" t="s">
        <v>152</v>
      </c>
      <c r="H193" t="s">
        <v>407</v>
      </c>
    </row>
    <row r="194" spans="3:8" x14ac:dyDescent="0.3">
      <c r="C194" t="s">
        <v>189</v>
      </c>
      <c r="D194" t="s">
        <v>333</v>
      </c>
      <c r="E194" t="s">
        <v>190</v>
      </c>
      <c r="F194" t="s">
        <v>152</v>
      </c>
      <c r="H194" t="s">
        <v>407</v>
      </c>
    </row>
    <row r="195" spans="3:8" x14ac:dyDescent="0.3">
      <c r="C195" t="s">
        <v>264</v>
      </c>
      <c r="E195" t="s">
        <v>190</v>
      </c>
      <c r="F195" t="s">
        <v>152</v>
      </c>
      <c r="H195" t="s">
        <v>407</v>
      </c>
    </row>
    <row r="196" spans="3:8" ht="12" customHeight="1" x14ac:dyDescent="0.3">
      <c r="C196" t="s">
        <v>191</v>
      </c>
      <c r="D196" t="s">
        <v>334</v>
      </c>
      <c r="E196" t="s">
        <v>190</v>
      </c>
      <c r="F196" t="s">
        <v>152</v>
      </c>
      <c r="H196" t="s">
        <v>407</v>
      </c>
    </row>
    <row r="197" spans="3:8" x14ac:dyDescent="0.3">
      <c r="C197" t="s">
        <v>192</v>
      </c>
      <c r="D197" t="s">
        <v>335</v>
      </c>
      <c r="E197" t="s">
        <v>190</v>
      </c>
      <c r="F197" t="s">
        <v>152</v>
      </c>
      <c r="H197" t="s">
        <v>407</v>
      </c>
    </row>
    <row r="198" spans="3:8" x14ac:dyDescent="0.3">
      <c r="C198" t="s">
        <v>193</v>
      </c>
      <c r="E198" t="s">
        <v>190</v>
      </c>
      <c r="F198" t="s">
        <v>152</v>
      </c>
      <c r="H198" t="s">
        <v>407</v>
      </c>
    </row>
    <row r="199" spans="3:8" x14ac:dyDescent="0.3">
      <c r="C199" t="s">
        <v>194</v>
      </c>
      <c r="D199" t="s">
        <v>336</v>
      </c>
      <c r="E199" t="s">
        <v>95</v>
      </c>
      <c r="F199" t="s">
        <v>195</v>
      </c>
      <c r="H199" t="s">
        <v>407</v>
      </c>
    </row>
    <row r="200" spans="3:8" x14ac:dyDescent="0.3">
      <c r="C200" t="s">
        <v>196</v>
      </c>
      <c r="E200" t="s">
        <v>95</v>
      </c>
      <c r="F200" t="s">
        <v>158</v>
      </c>
      <c r="H200" t="s">
        <v>407</v>
      </c>
    </row>
    <row r="201" spans="3:8" x14ac:dyDescent="0.3">
      <c r="C201" t="s">
        <v>197</v>
      </c>
      <c r="D201" t="s">
        <v>304</v>
      </c>
      <c r="E201" t="s">
        <v>151</v>
      </c>
      <c r="F201" t="s">
        <v>10</v>
      </c>
      <c r="H201" t="s">
        <v>407</v>
      </c>
    </row>
    <row r="202" spans="3:8" x14ac:dyDescent="0.3">
      <c r="C202" t="s">
        <v>198</v>
      </c>
      <c r="D202" t="s">
        <v>199</v>
      </c>
      <c r="E202" t="s">
        <v>200</v>
      </c>
      <c r="F202" t="s">
        <v>115</v>
      </c>
      <c r="H202" s="5" t="s">
        <v>404</v>
      </c>
    </row>
    <row r="203" spans="3:8" x14ac:dyDescent="0.3">
      <c r="C203" t="s">
        <v>209</v>
      </c>
      <c r="D203" t="s">
        <v>210</v>
      </c>
      <c r="E203" t="s">
        <v>200</v>
      </c>
      <c r="F203" t="s">
        <v>115</v>
      </c>
      <c r="H203" s="5"/>
    </row>
    <row r="204" spans="3:8" x14ac:dyDescent="0.3">
      <c r="C204" t="s">
        <v>201</v>
      </c>
      <c r="E204" t="s">
        <v>202</v>
      </c>
      <c r="F204" t="s">
        <v>10</v>
      </c>
      <c r="H204" t="s">
        <v>407</v>
      </c>
    </row>
    <row r="205" spans="3:8" ht="15" customHeight="1" x14ac:dyDescent="0.3">
      <c r="C205" t="s">
        <v>203</v>
      </c>
      <c r="E205" t="s">
        <v>204</v>
      </c>
      <c r="F205" t="s">
        <v>111</v>
      </c>
      <c r="H205" s="5" t="s">
        <v>404</v>
      </c>
    </row>
    <row r="206" spans="3:8" x14ac:dyDescent="0.3">
      <c r="C206" t="s">
        <v>205</v>
      </c>
      <c r="D206" t="s">
        <v>344</v>
      </c>
      <c r="E206" t="s">
        <v>204</v>
      </c>
      <c r="F206" t="s">
        <v>111</v>
      </c>
      <c r="H206" s="5"/>
    </row>
    <row r="207" spans="3:8" x14ac:dyDescent="0.3">
      <c r="C207" t="s">
        <v>309</v>
      </c>
      <c r="E207" t="s">
        <v>204</v>
      </c>
      <c r="F207" t="s">
        <v>111</v>
      </c>
      <c r="H207" s="5"/>
    </row>
    <row r="208" spans="3:8" x14ac:dyDescent="0.3">
      <c r="C208" t="s">
        <v>206</v>
      </c>
      <c r="D208" t="s">
        <v>357</v>
      </c>
      <c r="E208" t="s">
        <v>60</v>
      </c>
      <c r="F208" t="s">
        <v>152</v>
      </c>
      <c r="H208" t="s">
        <v>407</v>
      </c>
    </row>
    <row r="209" spans="3:8" x14ac:dyDescent="0.3">
      <c r="C209" t="s">
        <v>207</v>
      </c>
      <c r="D209" t="s">
        <v>358</v>
      </c>
      <c r="E209" t="s">
        <v>60</v>
      </c>
      <c r="F209" t="s">
        <v>152</v>
      </c>
      <c r="H209" t="s">
        <v>407</v>
      </c>
    </row>
    <row r="210" spans="3:8" x14ac:dyDescent="0.3">
      <c r="C210" t="s">
        <v>208</v>
      </c>
      <c r="D210" t="s">
        <v>314</v>
      </c>
      <c r="E210" t="s">
        <v>60</v>
      </c>
      <c r="F210" t="s">
        <v>115</v>
      </c>
      <c r="H210" t="s">
        <v>412</v>
      </c>
    </row>
    <row r="211" spans="3:8" x14ac:dyDescent="0.3">
      <c r="C211" t="s">
        <v>274</v>
      </c>
      <c r="D211" t="s">
        <v>275</v>
      </c>
      <c r="E211" t="s">
        <v>9</v>
      </c>
      <c r="H211" t="s">
        <v>412</v>
      </c>
    </row>
    <row r="212" spans="3:8" x14ac:dyDescent="0.3">
      <c r="C212" t="s">
        <v>285</v>
      </c>
      <c r="D212" t="s">
        <v>284</v>
      </c>
      <c r="E212" t="s">
        <v>282</v>
      </c>
      <c r="F212" t="s">
        <v>115</v>
      </c>
      <c r="H212" t="s">
        <v>412</v>
      </c>
    </row>
    <row r="213" spans="3:8" x14ac:dyDescent="0.3">
      <c r="C213" t="s">
        <v>283</v>
      </c>
      <c r="E213" t="s">
        <v>282</v>
      </c>
      <c r="F213" t="s">
        <v>115</v>
      </c>
      <c r="H213" t="s">
        <v>412</v>
      </c>
    </row>
  </sheetData>
  <dataConsolidate link="1"/>
  <mergeCells count="11">
    <mergeCell ref="H4:H24"/>
    <mergeCell ref="H28:H29"/>
    <mergeCell ref="H37:H38"/>
    <mergeCell ref="H39:H40"/>
    <mergeCell ref="H41:H42"/>
    <mergeCell ref="H205:H207"/>
    <mergeCell ref="H146:H147"/>
    <mergeCell ref="H44:H75"/>
    <mergeCell ref="H76:H79"/>
    <mergeCell ref="H136:H139"/>
    <mergeCell ref="H202:H203"/>
  </mergeCells>
  <dataValidations disablePrompts="1" count="1">
    <dataValidation type="list" allowBlank="1" showInputMessage="1" showErrorMessage="1" sqref="C80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workbookViewId="0">
      <selection activeCell="J16" sqref="J16"/>
    </sheetView>
  </sheetViews>
  <sheetFormatPr defaultRowHeight="14.4" x14ac:dyDescent="0.3"/>
  <sheetData>
    <row r="1" spans="2:5" x14ac:dyDescent="0.3">
      <c r="B1" t="s">
        <v>414</v>
      </c>
      <c r="C1" t="s">
        <v>416</v>
      </c>
      <c r="D1" t="s">
        <v>417</v>
      </c>
      <c r="E1" t="s">
        <v>418</v>
      </c>
    </row>
    <row r="2" spans="2:5" x14ac:dyDescent="0.3">
      <c r="B2" t="s">
        <v>415</v>
      </c>
      <c r="C2" t="s">
        <v>419</v>
      </c>
      <c r="D2" t="s">
        <v>419</v>
      </c>
      <c r="E2" t="s">
        <v>419</v>
      </c>
    </row>
    <row r="3" spans="2:5" x14ac:dyDescent="0.3">
      <c r="B3" t="s">
        <v>420</v>
      </c>
      <c r="C3" t="s">
        <v>421</v>
      </c>
      <c r="D3" t="s">
        <v>419</v>
      </c>
      <c r="E3" t="s">
        <v>419</v>
      </c>
    </row>
    <row r="4" spans="2:5" x14ac:dyDescent="0.3">
      <c r="B4" t="s">
        <v>422</v>
      </c>
      <c r="C4" t="s">
        <v>421</v>
      </c>
      <c r="D4" t="s">
        <v>419</v>
      </c>
      <c r="E4" t="s">
        <v>419</v>
      </c>
    </row>
    <row r="5" spans="2:5" x14ac:dyDescent="0.3">
      <c r="B5" t="s">
        <v>423</v>
      </c>
      <c r="C5" t="s">
        <v>421</v>
      </c>
      <c r="D5" t="s">
        <v>421</v>
      </c>
      <c r="E5" t="s">
        <v>419</v>
      </c>
    </row>
    <row r="6" spans="2:5" x14ac:dyDescent="0.3">
      <c r="B6" t="s">
        <v>424</v>
      </c>
      <c r="C6" t="s">
        <v>425</v>
      </c>
      <c r="D6" t="s">
        <v>421</v>
      </c>
      <c r="E6" t="s">
        <v>421</v>
      </c>
    </row>
    <row r="7" spans="2:5" x14ac:dyDescent="0.3">
      <c r="B7" t="s">
        <v>426</v>
      </c>
      <c r="C7" t="s">
        <v>425</v>
      </c>
      <c r="D7" t="s">
        <v>427</v>
      </c>
      <c r="E7" t="s">
        <v>427</v>
      </c>
    </row>
    <row r="8" spans="2:5" x14ac:dyDescent="0.3">
      <c r="B8" t="s">
        <v>428</v>
      </c>
      <c r="C8" t="s">
        <v>429</v>
      </c>
      <c r="D8" t="s">
        <v>430</v>
      </c>
      <c r="E8" t="s">
        <v>430</v>
      </c>
    </row>
    <row r="9" spans="2:5" x14ac:dyDescent="0.3">
      <c r="B9" t="s">
        <v>431</v>
      </c>
      <c r="C9" t="s">
        <v>429</v>
      </c>
      <c r="D9" t="s">
        <v>430</v>
      </c>
      <c r="E9" t="s">
        <v>430</v>
      </c>
    </row>
    <row r="10" spans="2:5" x14ac:dyDescent="0.3">
      <c r="B10" t="s">
        <v>432</v>
      </c>
      <c r="C10" t="s">
        <v>429</v>
      </c>
      <c r="D10" t="s">
        <v>430</v>
      </c>
      <c r="E10" t="s">
        <v>430</v>
      </c>
    </row>
    <row r="11" spans="2:5" x14ac:dyDescent="0.3">
      <c r="B11" t="s">
        <v>433</v>
      </c>
      <c r="C11" t="s">
        <v>434</v>
      </c>
      <c r="D11" t="s">
        <v>425</v>
      </c>
      <c r="E11" t="s">
        <v>425</v>
      </c>
    </row>
    <row r="12" spans="2:5" x14ac:dyDescent="0.3">
      <c r="B12" t="s">
        <v>435</v>
      </c>
      <c r="C12" t="s">
        <v>436</v>
      </c>
      <c r="D12" t="s">
        <v>434</v>
      </c>
      <c r="E12" t="s">
        <v>434</v>
      </c>
    </row>
    <row r="13" spans="2:5" x14ac:dyDescent="0.3">
      <c r="B13" t="s">
        <v>437</v>
      </c>
      <c r="C13" t="s">
        <v>438</v>
      </c>
      <c r="D13" t="s">
        <v>436</v>
      </c>
      <c r="E13" t="s">
        <v>436</v>
      </c>
    </row>
    <row r="14" spans="2:5" x14ac:dyDescent="0.3">
      <c r="B14" t="s">
        <v>439</v>
      </c>
      <c r="C14" t="s">
        <v>438</v>
      </c>
      <c r="D14" t="s">
        <v>436</v>
      </c>
      <c r="E14" t="s">
        <v>436</v>
      </c>
    </row>
    <row r="15" spans="2:5" x14ac:dyDescent="0.3">
      <c r="B15" t="s">
        <v>440</v>
      </c>
      <c r="C15" t="s">
        <v>438</v>
      </c>
      <c r="D15" t="s">
        <v>436</v>
      </c>
      <c r="E15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Busbar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TrongNguyen</dc:creator>
  <cp:lastModifiedBy>NT</cp:lastModifiedBy>
  <dcterms:created xsi:type="dcterms:W3CDTF">2023-08-07T06:32:56Z</dcterms:created>
  <dcterms:modified xsi:type="dcterms:W3CDTF">2025-12-01T15:06:41Z</dcterms:modified>
</cp:coreProperties>
</file>